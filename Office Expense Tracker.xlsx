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56FF18D-EEC4-4284-AC61-CF536AF15033}" xr6:coauthVersionLast="47" xr6:coauthVersionMax="47" xr10:uidLastSave="{00000000-0000-0000-0000-000000000000}"/>
  <bookViews>
    <workbookView xWindow="-120" yWindow="-120" windowWidth="20730" windowHeight="11040" xr2:uid="{AF5F1066-A20A-441D-8CD1-5528225A5217}"/>
  </bookViews>
  <sheets>
    <sheet name="Data Source" sheetId="1" r:id="rId1"/>
    <sheet name="Functional Data" sheetId="2" state="hidden" r:id="rId2"/>
    <sheet name="Dashboard" sheetId="5" r:id="rId3"/>
  </sheets>
  <definedNames>
    <definedName name="ExternalData_1" localSheetId="0" hidden="1">'Data Source'!$A$1:$E$101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2" l="1"/>
  <c r="E4" i="2"/>
  <c r="E3" i="2"/>
  <c r="B7" i="2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2AB68-F49B-46E7-B5E4-84C8E99D66E1}" keepAlive="1" name="Query - office_expenses_data" description="Connection to the 'office_expenses_data' query in the workbook." type="5" refreshedVersion="7" background="1" saveData="1">
    <dbPr connection="Provider=Microsoft.Mashup.OleDb.1;Data Source=$Workbook$;Location=office_expenses_data;Extended Properties=&quot;&quot;" command="SELECT * FROM [office_expenses_data]"/>
  </connection>
</connections>
</file>

<file path=xl/sharedStrings.xml><?xml version="1.0" encoding="utf-8"?>
<sst xmlns="http://schemas.openxmlformats.org/spreadsheetml/2006/main" count="369" uniqueCount="44">
  <si>
    <t>Date</t>
  </si>
  <si>
    <t>Department</t>
  </si>
  <si>
    <t>Category</t>
  </si>
  <si>
    <t>Amount</t>
  </si>
  <si>
    <t>Description</t>
  </si>
  <si>
    <t>Operations</t>
  </si>
  <si>
    <t>Supplies</t>
  </si>
  <si>
    <t>Expense for Supplies</t>
  </si>
  <si>
    <t>IT</t>
  </si>
  <si>
    <t>Maintenance</t>
  </si>
  <si>
    <t>Expense for Maintenance</t>
  </si>
  <si>
    <t>Software</t>
  </si>
  <si>
    <t>Expense for Software</t>
  </si>
  <si>
    <t>Finance</t>
  </si>
  <si>
    <t>Sales</t>
  </si>
  <si>
    <t>Rent</t>
  </si>
  <si>
    <t>Expense for Rent</t>
  </si>
  <si>
    <t>HR</t>
  </si>
  <si>
    <t>Travel</t>
  </si>
  <si>
    <t>Expense for Travel</t>
  </si>
  <si>
    <t>Marketing</t>
  </si>
  <si>
    <t>Utilities</t>
  </si>
  <si>
    <t>Expense for Utilities</t>
  </si>
  <si>
    <t>Total Expenses</t>
  </si>
  <si>
    <t>Top Department</t>
  </si>
  <si>
    <t>Top Category</t>
  </si>
  <si>
    <t>Avg Expense</t>
  </si>
  <si>
    <t>Total Department</t>
  </si>
  <si>
    <t>Key Performance Indicators</t>
  </si>
  <si>
    <t>Row Labels</t>
  </si>
  <si>
    <t>Grand Total</t>
  </si>
  <si>
    <t>Sum of Amount</t>
  </si>
  <si>
    <t>Top Amount</t>
  </si>
  <si>
    <t>Average of Amount</t>
  </si>
  <si>
    <t>Total transaction</t>
  </si>
  <si>
    <t>Count of Amount</t>
  </si>
  <si>
    <t>Monthly Expense Trend</t>
  </si>
  <si>
    <t>Jan</t>
  </si>
  <si>
    <t>Feb</t>
  </si>
  <si>
    <t>Mar</t>
  </si>
  <si>
    <t>Apr</t>
  </si>
  <si>
    <t>May</t>
  </si>
  <si>
    <t>Department vs. Category Breakdown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</si>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</sst>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2E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 applyFont="1" applyFill="1" applyBorder="1"/>
    <xf numFmtId="0" fontId="0" fillId="0" borderId="0" xfId="0" applyFont="1" applyAlignment="1">
      <alignment horizontal="left"/>
    </xf>
    <xf numFmtId="164" fontId="0" fillId="0" borderId="0" xfId="0" applyNumberFormat="1" applyFont="1"/>
    <xf numFmtId="0" fontId="0" fillId="2" borderId="1" xfId="0" applyFill="1" applyBorder="1"/>
    <xf numFmtId="0" fontId="0" fillId="2" borderId="2" xfId="0" applyFill="1" applyBorder="1"/>
    <xf numFmtId="0" fontId="0" fillId="0" borderId="2" xfId="0" applyFill="1" applyBorder="1"/>
    <xf numFmtId="0" fontId="0" fillId="0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0" borderId="0" xfId="0" applyFill="1" applyBorder="1"/>
    <xf numFmtId="0" fontId="0" fillId="0" borderId="5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3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  <dxf>
      <numFmt numFmtId="19" formatCode="m/d/yyyy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E2E2E4"/>
      <color rgb="FFC1CFE5"/>
      <color rgb="FF6B8EC6"/>
      <color rgb="FF87C193"/>
      <color rgb="FF569CCC"/>
      <color rgb="FF327982"/>
      <color rgb="FF40A49D"/>
      <color rgb="FF3F9B9E"/>
      <color rgb="FFFBFAFC"/>
      <color rgb="FF324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 Expense Tracker.xlsx]Functional Data!PivotTable3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cap="rnd">
            <a:noFill/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0A49D"/>
          </a:solidFill>
          <a:ln cap="rnd">
            <a:noFill/>
            <a:bevel/>
          </a:ln>
          <a:effectLst/>
        </c:spPr>
      </c:pivotFmt>
      <c:pivotFmt>
        <c:idx val="2"/>
        <c:spPr>
          <a:solidFill>
            <a:srgbClr val="327982"/>
          </a:solidFill>
          <a:ln cap="rnd">
            <a:noFill/>
            <a:bevel/>
          </a:ln>
          <a:effectLst/>
        </c:spPr>
      </c:pivotFmt>
      <c:pivotFmt>
        <c:idx val="3"/>
        <c:spPr>
          <a:solidFill>
            <a:srgbClr val="569CCC"/>
          </a:solidFill>
          <a:ln cap="rnd">
            <a:noFill/>
            <a:bevel/>
          </a:ln>
          <a:effectLst/>
        </c:spPr>
      </c:pivotFmt>
      <c:pivotFmt>
        <c:idx val="4"/>
        <c:spPr>
          <a:solidFill>
            <a:srgbClr val="87C193"/>
          </a:solidFill>
          <a:ln cap="rnd">
            <a:noFill/>
            <a:bevel/>
          </a:ln>
          <a:effectLst/>
        </c:spPr>
      </c:pivotFmt>
      <c:pivotFmt>
        <c:idx val="5"/>
        <c:spPr>
          <a:solidFill>
            <a:srgbClr val="6B8EC6"/>
          </a:solidFill>
          <a:ln cap="rnd">
            <a:noFill/>
            <a:bevel/>
          </a:ln>
          <a:effectLst/>
        </c:spPr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 cap="rnd">
            <a:noFill/>
            <a:bevel/>
          </a:ln>
          <a:effectLst/>
        </c:spPr>
      </c:pivotFmt>
      <c:pivotFmt>
        <c:idx val="7"/>
        <c:spPr>
          <a:solidFill>
            <a:schemeClr val="accent1"/>
          </a:solidFill>
          <a:ln cap="rnd">
            <a:noFill/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0A49D"/>
          </a:solidFill>
          <a:ln cap="rnd">
            <a:noFill/>
            <a:bevel/>
          </a:ln>
          <a:effectLst/>
        </c:spPr>
      </c:pivotFmt>
      <c:pivotFmt>
        <c:idx val="9"/>
        <c:spPr>
          <a:solidFill>
            <a:srgbClr val="327982"/>
          </a:solidFill>
          <a:ln cap="rnd">
            <a:noFill/>
            <a:bevel/>
          </a:ln>
          <a:effectLst/>
        </c:spPr>
      </c:pivotFmt>
      <c:pivotFmt>
        <c:idx val="10"/>
        <c:spPr>
          <a:solidFill>
            <a:srgbClr val="569CCC"/>
          </a:solidFill>
          <a:ln cap="rnd">
            <a:noFill/>
            <a:bevel/>
          </a:ln>
          <a:effectLst/>
        </c:spPr>
      </c:pivotFmt>
      <c:pivotFmt>
        <c:idx val="11"/>
        <c:spPr>
          <a:solidFill>
            <a:srgbClr val="87C193"/>
          </a:solidFill>
          <a:ln cap="rnd">
            <a:noFill/>
            <a:bevel/>
          </a:ln>
          <a:effectLst/>
        </c:spPr>
      </c:pivotFmt>
      <c:pivotFmt>
        <c:idx val="12"/>
        <c:spPr>
          <a:solidFill>
            <a:srgbClr val="6B8EC6"/>
          </a:solidFill>
          <a:ln cap="rnd">
            <a:noFill/>
            <a:bevel/>
          </a:ln>
          <a:effectLst/>
        </c:spPr>
      </c:pivotFmt>
      <c:pivotFmt>
        <c:idx val="13"/>
        <c:spPr>
          <a:solidFill>
            <a:schemeClr val="tx2">
              <a:lumMod val="40000"/>
              <a:lumOff val="60000"/>
            </a:schemeClr>
          </a:solidFill>
          <a:ln cap="rnd">
            <a:noFill/>
            <a:bevel/>
          </a:ln>
          <a:effectLst/>
        </c:spPr>
      </c:pivotFmt>
      <c:pivotFmt>
        <c:idx val="14"/>
        <c:spPr>
          <a:solidFill>
            <a:schemeClr val="accent1"/>
          </a:solidFill>
          <a:ln cap="rnd">
            <a:noFill/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0A49D"/>
          </a:solidFill>
          <a:ln cap="rnd">
            <a:noFill/>
            <a:bevel/>
          </a:ln>
          <a:effectLst/>
        </c:spPr>
      </c:pivotFmt>
      <c:pivotFmt>
        <c:idx val="16"/>
        <c:spPr>
          <a:solidFill>
            <a:srgbClr val="327982"/>
          </a:solidFill>
          <a:ln cap="rnd">
            <a:noFill/>
            <a:bevel/>
          </a:ln>
          <a:effectLst/>
        </c:spPr>
      </c:pivotFmt>
      <c:pivotFmt>
        <c:idx val="17"/>
        <c:spPr>
          <a:solidFill>
            <a:srgbClr val="569CCC"/>
          </a:solidFill>
          <a:ln cap="rnd">
            <a:noFill/>
            <a:bevel/>
          </a:ln>
          <a:effectLst/>
        </c:spPr>
      </c:pivotFmt>
      <c:pivotFmt>
        <c:idx val="18"/>
        <c:spPr>
          <a:solidFill>
            <a:srgbClr val="87C193"/>
          </a:solidFill>
          <a:ln cap="rnd">
            <a:noFill/>
            <a:bevel/>
          </a:ln>
          <a:effectLst/>
        </c:spPr>
      </c:pivotFmt>
      <c:pivotFmt>
        <c:idx val="19"/>
        <c:spPr>
          <a:solidFill>
            <a:srgbClr val="6B8EC6"/>
          </a:solidFill>
          <a:ln cap="rnd">
            <a:noFill/>
            <a:bevel/>
          </a:ln>
          <a:effectLst/>
        </c:spPr>
      </c:pivotFmt>
      <c:pivotFmt>
        <c:idx val="20"/>
        <c:spPr>
          <a:solidFill>
            <a:schemeClr val="tx2">
              <a:lumMod val="40000"/>
              <a:lumOff val="60000"/>
            </a:schemeClr>
          </a:solidFill>
          <a:ln cap="rnd">
            <a:noFill/>
            <a:beve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'Functional Data'!$B$8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cap="rnd">
              <a:noFill/>
              <a:beve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0A49D"/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B-4D1C-A030-2005A94366DF}"/>
              </c:ext>
            </c:extLst>
          </c:dPt>
          <c:dPt>
            <c:idx val="1"/>
            <c:invertIfNegative val="0"/>
            <c:bubble3D val="0"/>
            <c:spPr>
              <a:solidFill>
                <a:srgbClr val="327982"/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B-4D1C-A030-2005A94366DF}"/>
              </c:ext>
            </c:extLst>
          </c:dPt>
          <c:dPt>
            <c:idx val="2"/>
            <c:invertIfNegative val="0"/>
            <c:bubble3D val="0"/>
            <c:spPr>
              <a:solidFill>
                <a:srgbClr val="569CCC"/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EB-4D1C-A030-2005A94366DF}"/>
              </c:ext>
            </c:extLst>
          </c:dPt>
          <c:dPt>
            <c:idx val="3"/>
            <c:invertIfNegative val="0"/>
            <c:bubble3D val="0"/>
            <c:spPr>
              <a:solidFill>
                <a:srgbClr val="87C193"/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EB-4D1C-A030-2005A94366DF}"/>
              </c:ext>
            </c:extLst>
          </c:dPt>
          <c:dPt>
            <c:idx val="4"/>
            <c:invertIfNegative val="0"/>
            <c:bubble3D val="0"/>
            <c:spPr>
              <a:solidFill>
                <a:srgbClr val="6B8EC6"/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EB-4D1C-A030-2005A94366D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cap="rnd">
                <a:noFill/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EB-4D1C-A030-2005A94366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'Functional Data'!$A$9:$A$15</c:f>
              <c:strCache>
                <c:ptCount val="6"/>
                <c:pt idx="0">
                  <c:v>Sales</c:v>
                </c:pt>
                <c:pt idx="1">
                  <c:v>IT</c:v>
                </c:pt>
                <c:pt idx="2">
                  <c:v>HR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</c:strCache>
            </c:strRef>
          </c:cat>
          <c:val>
            <c:numRef>
              <c:f>'Functional Data'!$B$9:$B$15</c:f>
              <c:numCache>
                <c:formatCode>"$"#,##0.00</c:formatCode>
                <c:ptCount val="6"/>
                <c:pt idx="0">
                  <c:v>25226.9</c:v>
                </c:pt>
                <c:pt idx="1">
                  <c:v>18325.330000000002</c:v>
                </c:pt>
                <c:pt idx="2">
                  <c:v>16592.079999999998</c:v>
                </c:pt>
                <c:pt idx="3">
                  <c:v>10187.449999999999</c:v>
                </c:pt>
                <c:pt idx="4">
                  <c:v>8942.51</c:v>
                </c:pt>
                <c:pt idx="5">
                  <c:v>8363.11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EB-4D1C-A030-2005A9436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20648496"/>
        <c:axId val="220648912"/>
      </c:barChart>
      <c:catAx>
        <c:axId val="220648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20648912"/>
        <c:crosses val="autoZero"/>
        <c:auto val="1"/>
        <c:lblAlgn val="ctr"/>
        <c:lblOffset val="100"/>
        <c:noMultiLvlLbl val="0"/>
      </c:catAx>
      <c:valAx>
        <c:axId val="220648912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22064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 Expense Tracker.xlsx]Functional Data!PivotTable4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8136374248184194E-2"/>
          <c:y val="7.2330403660254089E-2"/>
          <c:w val="0.39426271129797769"/>
          <c:h val="0.85484982635222218"/>
        </c:manualLayout>
      </c:layout>
      <c:pieChart>
        <c:varyColors val="1"/>
        <c:ser>
          <c:idx val="0"/>
          <c:order val="0"/>
          <c:tx>
            <c:strRef>
              <c:f>'Functional Data'!$E$5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6F-4EFF-841D-21C211CB2E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6F-4EFF-841D-21C211CB2E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6F-4EFF-841D-21C211CB2E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6F-4EFF-841D-21C211CB2E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6F-4EFF-841D-21C211CB2E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6F-4EFF-841D-21C211CB2E3A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'Functional Data'!$D$6:$D$12</c:f>
              <c:strCache>
                <c:ptCount val="6"/>
                <c:pt idx="0">
                  <c:v>Rent</c:v>
                </c:pt>
                <c:pt idx="1">
                  <c:v>Software</c:v>
                </c:pt>
                <c:pt idx="2">
                  <c:v>Maintenance</c:v>
                </c:pt>
                <c:pt idx="3">
                  <c:v>Travel</c:v>
                </c:pt>
                <c:pt idx="4">
                  <c:v>Utilities</c:v>
                </c:pt>
                <c:pt idx="5">
                  <c:v>Supplies</c:v>
                </c:pt>
              </c:strCache>
            </c:strRef>
          </c:cat>
          <c:val>
            <c:numRef>
              <c:f>'Functional Data'!$E$6:$E$12</c:f>
              <c:numCache>
                <c:formatCode>General</c:formatCode>
                <c:ptCount val="6"/>
                <c:pt idx="0">
                  <c:v>56132.22</c:v>
                </c:pt>
                <c:pt idx="1">
                  <c:v>9589.23</c:v>
                </c:pt>
                <c:pt idx="2">
                  <c:v>8504.2400000000016</c:v>
                </c:pt>
                <c:pt idx="3">
                  <c:v>8214.98</c:v>
                </c:pt>
                <c:pt idx="4">
                  <c:v>2910.71</c:v>
                </c:pt>
                <c:pt idx="5">
                  <c:v>2285.9999999999995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6F-4EFF-841D-21C211CB2E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934514613743978"/>
          <c:y val="0.20012438490086809"/>
          <c:w val="0.44456289911136299"/>
          <c:h val="0.599750886783297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 Expense Tracker.xlsx]Functional Data!Monthly Expense Trend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'Functional Data'!$K$4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'Functional Data'!$J$5:$J$10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'Functional Data'!$K$5:$K$10</c:f>
              <c:numCache>
                <c:formatCode>"$"#,##0.00</c:formatCode>
                <c:ptCount val="5"/>
                <c:pt idx="0">
                  <c:v>29272.3</c:v>
                </c:pt>
                <c:pt idx="1">
                  <c:v>6466.3000000000011</c:v>
                </c:pt>
                <c:pt idx="2">
                  <c:v>16546.989999999998</c:v>
                </c:pt>
                <c:pt idx="3">
                  <c:v>9910.9600000000028</c:v>
                </c:pt>
                <c:pt idx="4">
                  <c:v>25440.830000000005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4-48AA-9A5E-4AF41A1E7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76924256"/>
        <c:axId val="876930080"/>
      </c:lineChart>
      <c:catAx>
        <c:axId val="8769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76930080"/>
        <c:crosses val="autoZero"/>
        <c:auto val="1"/>
        <c:lblAlgn val="ctr"/>
        <c:lblOffset val="100"/>
        <c:noMultiLvlLbl val="0"/>
      </c:catAx>
      <c:valAx>
        <c:axId val="876930080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7692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[Office Expense Tracker.xlsx]Functional Data!PivotTable7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'Functional Data'!$B$19:$B$20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Data'!$B$21:$B$27</c:f>
              <c:numCache>
                <c:formatCode>"$"#,##0.00</c:formatCode>
                <c:ptCount val="6"/>
                <c:pt idx="0">
                  <c:v>1726.85</c:v>
                </c:pt>
                <c:pt idx="1">
                  <c:v>1032.29</c:v>
                </c:pt>
                <c:pt idx="2">
                  <c:v>2332.13</c:v>
                </c:pt>
                <c:pt idx="3">
                  <c:v>924.38</c:v>
                </c:pt>
                <c:pt idx="4">
                  <c:v>1138.28</c:v>
                </c:pt>
                <c:pt idx="5">
                  <c:v>1350.31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80-447B-8010-B97418C0DE9A}"/>
            </c:ext>
          </c:extLst>
        </c:ser>
        <c:ser>
          <c:idx val="1"/>
          <c:order val="1"/>
          <c:tx>
            <c:strRef>
              <c:f>'Functional Data'!$C$19:$C$20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Data'!$C$21:$C$27</c:f>
              <c:numCache>
                <c:formatCode>"$"#,##0.00</c:formatCode>
                <c:ptCount val="6"/>
                <c:pt idx="0">
                  <c:v>4765.26</c:v>
                </c:pt>
                <c:pt idx="1">
                  <c:v>11785.91</c:v>
                </c:pt>
                <c:pt idx="2">
                  <c:v>8440.15</c:v>
                </c:pt>
                <c:pt idx="3">
                  <c:v>4402.79</c:v>
                </c:pt>
                <c:pt idx="4">
                  <c:v>5995.8899999999994</c:v>
                </c:pt>
                <c:pt idx="5">
                  <c:v>20742.22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80-447B-8010-B97418C0DE9A}"/>
            </c:ext>
          </c:extLst>
        </c:ser>
        <c:ser>
          <c:idx val="2"/>
          <c:order val="2"/>
          <c:tx>
            <c:strRef>
              <c:f>'Functional Data'!$D$19:$D$20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Data'!$D$21:$D$27</c:f>
              <c:numCache>
                <c:formatCode>"$"#,##0.00</c:formatCode>
                <c:ptCount val="6"/>
                <c:pt idx="0">
                  <c:v>754.2</c:v>
                </c:pt>
                <c:pt idx="1">
                  <c:v>925.52</c:v>
                </c:pt>
                <c:pt idx="2">
                  <c:v>4912.8200000000006</c:v>
                </c:pt>
                <c:pt idx="3">
                  <c:v>1674.7799999999997</c:v>
                </c:pt>
                <c:pt idx="4">
                  <c:v>307.38</c:v>
                </c:pt>
                <c:pt idx="5">
                  <c:v>1014.53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80-447B-8010-B97418C0DE9A}"/>
            </c:ext>
          </c:extLst>
        </c:ser>
        <c:ser>
          <c:idx val="3"/>
          <c:order val="3"/>
          <c:tx>
            <c:strRef>
              <c:f>'Functional Data'!$E$19:$E$20</c:f>
              <c:strCache>
                <c:ptCount val="1"/>
                <c:pt idx="0">
                  <c:v>Supplies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Data'!$E$21:$E$27</c:f>
              <c:numCache>
                <c:formatCode>"$"#,##0.00</c:formatCode>
                <c:ptCount val="6"/>
                <c:pt idx="0">
                  <c:v>674.71999999999991</c:v>
                </c:pt>
                <c:pt idx="1">
                  <c:v>348.9</c:v>
                </c:pt>
                <c:pt idx="3">
                  <c:v>329.51</c:v>
                </c:pt>
                <c:pt idx="4">
                  <c:v>640.96999999999991</c:v>
                </c:pt>
                <c:pt idx="5">
                  <c:v>291.89999999999998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80-447B-8010-B97418C0DE9A}"/>
            </c:ext>
          </c:extLst>
        </c:ser>
        <c:ser>
          <c:idx val="4"/>
          <c:order val="4"/>
          <c:tx>
            <c:strRef>
              <c:f>'Functional Data'!$F$19:$F$20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Data'!$F$21:$F$27</c:f>
              <c:numCache>
                <c:formatCode>"$"#,##0.00</c:formatCode>
                <c:ptCount val="6"/>
                <c:pt idx="0">
                  <c:v>897.1</c:v>
                </c:pt>
                <c:pt idx="1">
                  <c:v>1840</c:v>
                </c:pt>
                <c:pt idx="2">
                  <c:v>2154.19</c:v>
                </c:pt>
                <c:pt idx="3">
                  <c:v>1963.1499999999999</c:v>
                </c:pt>
                <c:pt idx="5">
                  <c:v>1360.54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480-447B-8010-B97418C0DE9A}"/>
            </c:ext>
          </c:extLst>
        </c:ser>
        <c:ser>
          <c:idx val="5"/>
          <c:order val="5"/>
          <c:tx>
            <c:strRef>
              <c:f>'Functional Data'!$G$19:$G$20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'Functional Data'!$A$21:$A$27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'Functional Data'!$G$21:$G$27</c:f>
              <c:numCache>
                <c:formatCode>"$"#,##0.00</c:formatCode>
                <c:ptCount val="6"/>
                <c:pt idx="0">
                  <c:v>124.38</c:v>
                </c:pt>
                <c:pt idx="1">
                  <c:v>659.46</c:v>
                </c:pt>
                <c:pt idx="2">
                  <c:v>486.03999999999996</c:v>
                </c:pt>
                <c:pt idx="3">
                  <c:v>892.83999999999992</c:v>
                </c:pt>
                <c:pt idx="4">
                  <c:v>280.58999999999997</c:v>
                </c:pt>
                <c:pt idx="5">
                  <c:v>467.4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480-447B-8010-B97418C0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9753168"/>
        <c:axId val="379745680"/>
      </c:barChart>
      <c:catAx>
        <c:axId val="3797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79745680"/>
        <c:crosses val="autoZero"/>
        <c:auto val="1"/>
        <c:lblAlgn val="ctr"/>
        <c:lblOffset val="100"/>
        <c:noMultiLvlLbl val="0"/>
      </c:catAx>
      <c:valAx>
        <c:axId val="379745680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797531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6350" cap="flat" cmpd="sng" algn="ctr">
      <a:noFill/>
      <a:prstDash val="solid"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10353</xdr:colOff>
      <xdr:row>0</xdr:row>
      <xdr:rowOff>13160</xdr:rowOff>
    </xdr:from>
    <xdr:to>
      <xdr:col>23</xdr:col>
      <xdr:colOff>13607</xdr:colOff>
      <xdr:row>2</xdr:row>
      <xdr:rowOff>189618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E353DE-CAA8-4F06-B8F4-3E23B5BE16A7}"/>
            </a:ext>
          </a:extLst>
        </xdr:cNvPr>
        <xdr:cNvSpPr/>
      </xdr:nvSpPr>
      <xdr:spPr>
        <a:xfrm>
          <a:off x="10353" y="13160"/>
          <a:ext cx="13814504" cy="557458"/>
        </a:xfrm>
        <a:prstGeom prst="rect">
          <a:avLst/>
        </a:prstGeom>
        <a:solidFill>
          <a:srgbClr val="3241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latin typeface="Aptos Narrow" panose="020B0004020202020204" pitchFamily="34" charset="0"/>
            </a:rPr>
            <a:t>OFFICE EXPENSE TRACKER</a:t>
          </a:r>
        </a:p>
      </xdr:txBody>
    </xdr:sp>
    <xdr:clientData/>
  </xdr:twoCellAnchor>
  <xdr:twoCellAnchor>
    <xdr:from>
      <xdr:col>0</xdr:col>
      <xdr:colOff>231321</xdr:colOff>
      <xdr:row>9</xdr:row>
      <xdr:rowOff>127906</xdr:rowOff>
    </xdr:from>
    <xdr:to>
      <xdr:col>11</xdr:col>
      <xdr:colOff>217714</xdr:colOff>
      <xdr:row>27</xdr:row>
      <xdr:rowOff>95249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C8CBA6B-5454-4BA1-A7B8-9149F8BEF200}"/>
            </a:ext>
          </a:extLst>
        </xdr:cNvPr>
        <xdr:cNvSpPr/>
      </xdr:nvSpPr>
      <xdr:spPr>
        <a:xfrm>
          <a:off x="231321" y="1842406"/>
          <a:ext cx="6449786" cy="3396343"/>
        </a:xfrm>
        <a:prstGeom prst="roundRect">
          <a:avLst>
            <a:gd name="adj" fmla="val 3599"/>
          </a:avLst>
        </a:prstGeom>
        <a:solidFill>
          <a:srgbClr val="FBFA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b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rPr>
            <a:t>Expenses by Department</a:t>
          </a:r>
        </a:p>
      </xdr:txBody>
    </xdr:sp>
    <xdr:clientData/>
  </xdr:twoCellAnchor>
  <xdr:twoCellAnchor>
    <xdr:from>
      <xdr:col>0</xdr:col>
      <xdr:colOff>190500</xdr:colOff>
      <xdr:row>29</xdr:row>
      <xdr:rowOff>54418</xdr:rowOff>
    </xdr:from>
    <xdr:to>
      <xdr:col>11</xdr:col>
      <xdr:colOff>231320</xdr:colOff>
      <xdr:row>47</xdr:row>
      <xdr:rowOff>40810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829157C5-9C75-4538-8A68-64E7AFC69833}"/>
            </a:ext>
          </a:extLst>
        </xdr:cNvPr>
        <xdr:cNvSpPr/>
      </xdr:nvSpPr>
      <xdr:spPr>
        <a:xfrm>
          <a:off x="190500" y="5578918"/>
          <a:ext cx="6504213" cy="3415392"/>
        </a:xfrm>
        <a:prstGeom prst="roundRect">
          <a:avLst>
            <a:gd name="adj" fmla="val 3030"/>
          </a:avLst>
        </a:prstGeom>
        <a:solidFill>
          <a:srgbClr val="FBFA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rPr>
            <a:t>Expenses by Category</a:t>
          </a:r>
        </a:p>
      </xdr:txBody>
    </xdr:sp>
    <xdr:clientData/>
  </xdr:twoCellAnchor>
  <xdr:twoCellAnchor>
    <xdr:from>
      <xdr:col>0</xdr:col>
      <xdr:colOff>238125</xdr:colOff>
      <xdr:row>4</xdr:row>
      <xdr:rowOff>0</xdr:rowOff>
    </xdr:from>
    <xdr:to>
      <xdr:col>3</xdr:col>
      <xdr:colOff>300245</xdr:colOff>
      <xdr:row>8</xdr:row>
      <xdr:rowOff>62119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DB309287-1651-439A-A9F4-1C1108069AA1}"/>
            </a:ext>
          </a:extLst>
        </xdr:cNvPr>
        <xdr:cNvGrpSpPr/>
      </xdr:nvGrpSpPr>
      <xdr:grpSpPr>
        <a:xfrm>
          <a:off x="238125" y="737419"/>
          <a:ext cx="1905668" cy="799539"/>
          <a:chOff x="238125" y="762000"/>
          <a:chExt cx="1883776" cy="824119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26515E7B-0EF0-44CD-898C-A778867AC02A}"/>
              </a:ext>
            </a:extLst>
          </xdr:cNvPr>
          <xdr:cNvSpPr/>
        </xdr:nvSpPr>
        <xdr:spPr>
          <a:xfrm>
            <a:off x="238125" y="762000"/>
            <a:ext cx="1883776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Total Expenses</a:t>
            </a:r>
          </a:p>
        </xdr:txBody>
      </xdr:sp>
      <xdr:sp macro="" textlink="'Functional Data'!B4">
        <xdr:nvSpPr>
          <xdr:cNvPr id="36" name="TextBox 35">
            <a:extLst>
              <a:ext uri="{FF2B5EF4-FFF2-40B4-BE49-F238E27FC236}">
                <a16:creationId xmlns:a16="http://schemas.microsoft.com/office/drawing/2014/main" id="{6F536D2A-6FA7-4CAD-8A8A-13DDC5460CBF}"/>
              </a:ext>
            </a:extLst>
          </xdr:cNvPr>
          <xdr:cNvSpPr txBox="1"/>
        </xdr:nvSpPr>
        <xdr:spPr>
          <a:xfrm>
            <a:off x="238125" y="1143000"/>
            <a:ext cx="1883776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AC1B2C5-F589-4679-9DD3-752A5A365EEC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$87,637.38</a:t>
            </a:fld>
            <a:endParaRPr lang="en-US" sz="1600" b="1"/>
          </a:p>
        </xdr:txBody>
      </xdr:sp>
    </xdr:grpSp>
    <xdr:clientData/>
  </xdr:twoCellAnchor>
  <xdr:twoCellAnchor>
    <xdr:from>
      <xdr:col>3</xdr:col>
      <xdr:colOff>530679</xdr:colOff>
      <xdr:row>4</xdr:row>
      <xdr:rowOff>1036</xdr:rowOff>
    </xdr:from>
    <xdr:to>
      <xdr:col>7</xdr:col>
      <xdr:colOff>557893</xdr:colOff>
      <xdr:row>8</xdr:row>
      <xdr:rowOff>63155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A17AA1C6-7331-4C77-9425-B7C15137409F}"/>
            </a:ext>
          </a:extLst>
        </xdr:cNvPr>
        <xdr:cNvGrpSpPr/>
      </xdr:nvGrpSpPr>
      <xdr:grpSpPr>
        <a:xfrm>
          <a:off x="2374227" y="738455"/>
          <a:ext cx="2208747" cy="799539"/>
          <a:chOff x="2428875" y="763036"/>
          <a:chExt cx="2774156" cy="824119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6B47A573-B89A-419B-A465-E3D0172787DE}"/>
              </a:ext>
            </a:extLst>
          </xdr:cNvPr>
          <xdr:cNvSpPr/>
        </xdr:nvSpPr>
        <xdr:spPr>
          <a:xfrm>
            <a:off x="2428875" y="763036"/>
            <a:ext cx="2774156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rPr>
              <a:t>Top Department</a:t>
            </a:r>
          </a:p>
        </xdr:txBody>
      </xdr:sp>
      <xdr:sp macro="" textlink="'Functional Data'!B6">
        <xdr:nvSpPr>
          <xdr:cNvPr id="37" name="TextBox 36">
            <a:extLst>
              <a:ext uri="{FF2B5EF4-FFF2-40B4-BE49-F238E27FC236}">
                <a16:creationId xmlns:a16="http://schemas.microsoft.com/office/drawing/2014/main" id="{20BE010B-3157-4B05-8744-3F9C9F260E67}"/>
              </a:ext>
            </a:extLst>
          </xdr:cNvPr>
          <xdr:cNvSpPr txBox="1"/>
        </xdr:nvSpPr>
        <xdr:spPr>
          <a:xfrm>
            <a:off x="2854912" y="1143000"/>
            <a:ext cx="1883776" cy="381000"/>
          </a:xfrm>
          <a:prstGeom prst="roundRect">
            <a:avLst/>
          </a:prstGeom>
          <a:solidFill>
            <a:srgbClr val="FBFAFC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46637A9-D15C-465B-80E2-0BEB406A1F79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Sales</a:t>
            </a:fld>
            <a:endParaRPr lang="en-US" sz="2400" b="1"/>
          </a:p>
        </xdr:txBody>
      </xdr:sp>
    </xdr:grpSp>
    <xdr:clientData/>
  </xdr:twoCellAnchor>
  <xdr:twoCellAnchor>
    <xdr:from>
      <xdr:col>8</xdr:col>
      <xdr:colOff>173937</xdr:colOff>
      <xdr:row>4</xdr:row>
      <xdr:rowOff>1036</xdr:rowOff>
    </xdr:from>
    <xdr:to>
      <xdr:col>11</xdr:col>
      <xdr:colOff>236057</xdr:colOff>
      <xdr:row>8</xdr:row>
      <xdr:rowOff>63155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FF0C7AD3-9DE1-4E02-942A-95A075396FCC}"/>
            </a:ext>
          </a:extLst>
        </xdr:cNvPr>
        <xdr:cNvGrpSpPr/>
      </xdr:nvGrpSpPr>
      <xdr:grpSpPr>
        <a:xfrm>
          <a:off x="4813534" y="738455"/>
          <a:ext cx="1905668" cy="799539"/>
          <a:chOff x="5472216" y="763036"/>
          <a:chExt cx="1883777" cy="824119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214EB93-E6FE-44AE-87BD-8AF6511899AA}"/>
              </a:ext>
            </a:extLst>
          </xdr:cNvPr>
          <xdr:cNvSpPr/>
        </xdr:nvSpPr>
        <xdr:spPr>
          <a:xfrm>
            <a:off x="5472216" y="763036"/>
            <a:ext cx="1883777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rPr>
              <a:t>Top Category</a:t>
            </a:r>
          </a:p>
        </xdr:txBody>
      </xdr:sp>
      <xdr:sp macro="" textlink="'Functional Data'!E3">
        <xdr:nvSpPr>
          <xdr:cNvPr id="39" name="TextBox 38">
            <a:extLst>
              <a:ext uri="{FF2B5EF4-FFF2-40B4-BE49-F238E27FC236}">
                <a16:creationId xmlns:a16="http://schemas.microsoft.com/office/drawing/2014/main" id="{92A212E3-756A-473F-9D98-53447B04ADA5}"/>
              </a:ext>
            </a:extLst>
          </xdr:cNvPr>
          <xdr:cNvSpPr txBox="1"/>
        </xdr:nvSpPr>
        <xdr:spPr>
          <a:xfrm>
            <a:off x="5472217" y="1143000"/>
            <a:ext cx="1883776" cy="381000"/>
          </a:xfrm>
          <a:prstGeom prst="roundRect">
            <a:avLst/>
          </a:prstGeom>
          <a:solidFill>
            <a:srgbClr val="FBFAFC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8D02179-7904-4667-965E-154FE74F2381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Rent</a:t>
            </a:fld>
            <a:endParaRPr lang="en-US" sz="3600" b="1"/>
          </a:p>
        </xdr:txBody>
      </xdr:sp>
    </xdr:grpSp>
    <xdr:clientData/>
  </xdr:twoCellAnchor>
  <xdr:twoCellAnchor>
    <xdr:from>
      <xdr:col>11</xdr:col>
      <xdr:colOff>458563</xdr:colOff>
      <xdr:row>4</xdr:row>
      <xdr:rowOff>10319</xdr:rowOff>
    </xdr:from>
    <xdr:to>
      <xdr:col>14</xdr:col>
      <xdr:colOff>523405</xdr:colOff>
      <xdr:row>8</xdr:row>
      <xdr:rowOff>72438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87DFF290-A4A3-4C0E-9F00-D81D418A66BD}"/>
            </a:ext>
          </a:extLst>
        </xdr:cNvPr>
        <xdr:cNvGrpSpPr/>
      </xdr:nvGrpSpPr>
      <xdr:grpSpPr>
        <a:xfrm>
          <a:off x="6941708" y="747738"/>
          <a:ext cx="1908391" cy="799539"/>
          <a:chOff x="238125" y="762000"/>
          <a:chExt cx="1883776" cy="824119"/>
        </a:xfrm>
      </xdr:grpSpPr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7062620-1B73-4728-A494-D41D84781CAC}"/>
              </a:ext>
            </a:extLst>
          </xdr:cNvPr>
          <xdr:cNvSpPr/>
        </xdr:nvSpPr>
        <xdr:spPr>
          <a:xfrm>
            <a:off x="238125" y="762000"/>
            <a:ext cx="1883776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Avg Expense</a:t>
            </a:r>
          </a:p>
        </xdr:txBody>
      </xdr:sp>
      <xdr:sp macro="" textlink="'Functional Data'!H4">
        <xdr:nvSpPr>
          <xdr:cNvPr id="63" name="TextBox 62">
            <a:extLst>
              <a:ext uri="{FF2B5EF4-FFF2-40B4-BE49-F238E27FC236}">
                <a16:creationId xmlns:a16="http://schemas.microsoft.com/office/drawing/2014/main" id="{527195DE-54C2-4B42-90D3-0F45371C6E9C}"/>
              </a:ext>
            </a:extLst>
          </xdr:cNvPr>
          <xdr:cNvSpPr txBox="1"/>
        </xdr:nvSpPr>
        <xdr:spPr>
          <a:xfrm>
            <a:off x="238125" y="1143000"/>
            <a:ext cx="1883776" cy="381000"/>
          </a:xfrm>
          <a:prstGeom prst="round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6514B1E-165D-43BA-AB1B-937AA36FC8F9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$876.37</a:t>
            </a:fld>
            <a:endParaRPr lang="en-US" sz="2400" b="1"/>
          </a:p>
        </xdr:txBody>
      </xdr:sp>
    </xdr:grpSp>
    <xdr:clientData/>
  </xdr:twoCellAnchor>
  <xdr:twoCellAnchor>
    <xdr:from>
      <xdr:col>15</xdr:col>
      <xdr:colOff>122463</xdr:colOff>
      <xdr:row>3</xdr:row>
      <xdr:rowOff>176455</xdr:rowOff>
    </xdr:from>
    <xdr:to>
      <xdr:col>18</xdr:col>
      <xdr:colOff>517070</xdr:colOff>
      <xdr:row>8</xdr:row>
      <xdr:rowOff>48074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C7259970-AFA4-456F-836B-B292BED0606F}"/>
            </a:ext>
          </a:extLst>
        </xdr:cNvPr>
        <xdr:cNvGrpSpPr/>
      </xdr:nvGrpSpPr>
      <xdr:grpSpPr>
        <a:xfrm>
          <a:off x="9063673" y="729520"/>
          <a:ext cx="2238155" cy="793393"/>
          <a:chOff x="2428875" y="763036"/>
          <a:chExt cx="2774156" cy="824119"/>
        </a:xfrm>
      </xdr:grpSpPr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AF8091CD-F0AB-4E0E-9DBA-594C58C5917D}"/>
              </a:ext>
            </a:extLst>
          </xdr:cNvPr>
          <xdr:cNvSpPr/>
        </xdr:nvSpPr>
        <xdr:spPr>
          <a:xfrm>
            <a:off x="2428875" y="763036"/>
            <a:ext cx="2774156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rPr>
              <a:t>Total Transaction</a:t>
            </a:r>
          </a:p>
        </xdr:txBody>
      </xdr:sp>
      <xdr:sp macro="" textlink="'Functional Data'!H7">
        <xdr:nvSpPr>
          <xdr:cNvPr id="66" name="TextBox 65">
            <a:extLst>
              <a:ext uri="{FF2B5EF4-FFF2-40B4-BE49-F238E27FC236}">
                <a16:creationId xmlns:a16="http://schemas.microsoft.com/office/drawing/2014/main" id="{4ECC1EAC-53DE-406A-8BEA-1D68D079A780}"/>
              </a:ext>
            </a:extLst>
          </xdr:cNvPr>
          <xdr:cNvSpPr txBox="1"/>
        </xdr:nvSpPr>
        <xdr:spPr>
          <a:xfrm>
            <a:off x="2854912" y="1143000"/>
            <a:ext cx="1883776" cy="381000"/>
          </a:xfrm>
          <a:prstGeom prst="roundRect">
            <a:avLst/>
          </a:prstGeom>
          <a:solidFill>
            <a:srgbClr val="FBFAFC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AB64B42-5CAE-4359-8D86-44E705C5F811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100</a:t>
            </a:fld>
            <a:endParaRPr lang="en-US" sz="3600" b="1"/>
          </a:p>
        </xdr:txBody>
      </xdr:sp>
    </xdr:grpSp>
    <xdr:clientData/>
  </xdr:twoCellAnchor>
  <xdr:twoCellAnchor>
    <xdr:from>
      <xdr:col>19</xdr:col>
      <xdr:colOff>119504</xdr:colOff>
      <xdr:row>3</xdr:row>
      <xdr:rowOff>163756</xdr:rowOff>
    </xdr:from>
    <xdr:to>
      <xdr:col>22</xdr:col>
      <xdr:colOff>340175</xdr:colOff>
      <xdr:row>8</xdr:row>
      <xdr:rowOff>54430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92EF980E-45AB-4BF1-97CB-7456D6DC1235}"/>
            </a:ext>
          </a:extLst>
        </xdr:cNvPr>
        <xdr:cNvGrpSpPr/>
      </xdr:nvGrpSpPr>
      <xdr:grpSpPr>
        <a:xfrm>
          <a:off x="11518778" y="716821"/>
          <a:ext cx="2064220" cy="812448"/>
          <a:chOff x="5472216" y="763036"/>
          <a:chExt cx="1883777" cy="824119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65AF1D2-2617-4878-A119-9705E926A848}"/>
              </a:ext>
            </a:extLst>
          </xdr:cNvPr>
          <xdr:cNvSpPr/>
        </xdr:nvSpPr>
        <xdr:spPr>
          <a:xfrm>
            <a:off x="5472216" y="763036"/>
            <a:ext cx="1883777" cy="824119"/>
          </a:xfrm>
          <a:prstGeom prst="roundRect">
            <a:avLst/>
          </a:prstGeom>
          <a:solidFill>
            <a:srgbClr val="FBFA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800" b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rPr>
              <a:t>Total Category</a:t>
            </a:r>
          </a:p>
        </xdr:txBody>
      </xdr:sp>
      <xdr:sp macro="" textlink="'Functional Data'!H9">
        <xdr:nvSpPr>
          <xdr:cNvPr id="69" name="TextBox 68">
            <a:extLst>
              <a:ext uri="{FF2B5EF4-FFF2-40B4-BE49-F238E27FC236}">
                <a16:creationId xmlns:a16="http://schemas.microsoft.com/office/drawing/2014/main" id="{6B36ADE0-793B-4D34-BAE5-5CAB55874D53}"/>
              </a:ext>
            </a:extLst>
          </xdr:cNvPr>
          <xdr:cNvSpPr txBox="1"/>
        </xdr:nvSpPr>
        <xdr:spPr>
          <a:xfrm>
            <a:off x="5472217" y="1143000"/>
            <a:ext cx="1883776" cy="381000"/>
          </a:xfrm>
          <a:prstGeom prst="roundRect">
            <a:avLst/>
          </a:prstGeom>
          <a:solidFill>
            <a:srgbClr val="FBFAFC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5159BA5-2117-4449-92A9-C489EDCFCD5A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ctr"/>
              <a:t>7</a:t>
            </a:fld>
            <a:endParaRPr lang="en-US" sz="4800" b="1"/>
          </a:p>
        </xdr:txBody>
      </xdr:sp>
    </xdr:grpSp>
    <xdr:clientData/>
  </xdr:twoCellAnchor>
  <xdr:twoCellAnchor>
    <xdr:from>
      <xdr:col>0</xdr:col>
      <xdr:colOff>316366</xdr:colOff>
      <xdr:row>11</xdr:row>
      <xdr:rowOff>122123</xdr:rowOff>
    </xdr:from>
    <xdr:to>
      <xdr:col>12</xdr:col>
      <xdr:colOff>530679</xdr:colOff>
      <xdr:row>27</xdr:row>
      <xdr:rowOff>81642</xdr:rowOff>
    </xdr:to>
    <xdr:graphicFrame macro="">
      <xdr:nvGraphicFramePr>
        <xdr:cNvPr id="71" name="Expenses by Department">
          <a:extLst>
            <a:ext uri="{FF2B5EF4-FFF2-40B4-BE49-F238E27FC236}">
              <a16:creationId xmlns:a16="http://schemas.microsoft.com/office/drawing/2014/main" id="{B877A3D1-D1B7-47E9-BD1A-4A49DC37D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299357</xdr:colOff>
      <xdr:row>31</xdr:row>
      <xdr:rowOff>122464</xdr:rowOff>
    </xdr:from>
    <xdr:to>
      <xdr:col>11</xdr:col>
      <xdr:colOff>149678</xdr:colOff>
      <xdr:row>46</xdr:row>
      <xdr:rowOff>176893</xdr:rowOff>
    </xdr:to>
    <xdr:graphicFrame macro="">
      <xdr:nvGraphicFramePr>
        <xdr:cNvPr id="72" name="Expenses by Category">
          <a:extLst>
            <a:ext uri="{FF2B5EF4-FFF2-40B4-BE49-F238E27FC236}">
              <a16:creationId xmlns:a16="http://schemas.microsoft.com/office/drawing/2014/main" id="{8699E9B8-8EB3-4E8C-B43D-93E48A2B6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462643</xdr:colOff>
      <xdr:row>9</xdr:row>
      <xdr:rowOff>108857</xdr:rowOff>
    </xdr:from>
    <xdr:to>
      <xdr:col>22</xdr:col>
      <xdr:colOff>353785</xdr:colOff>
      <xdr:row>27</xdr:row>
      <xdr:rowOff>122464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B46A0AA-1D5D-42CC-9D55-6E73496B6E11}"/>
            </a:ext>
          </a:extLst>
        </xdr:cNvPr>
        <xdr:cNvSpPr/>
      </xdr:nvSpPr>
      <xdr:spPr>
        <a:xfrm>
          <a:off x="6926036" y="1823357"/>
          <a:ext cx="6626678" cy="3442607"/>
        </a:xfrm>
        <a:prstGeom prst="roundRect">
          <a:avLst>
            <a:gd name="adj" fmla="val 6846"/>
          </a:avLst>
        </a:prstGeom>
        <a:solidFill>
          <a:srgbClr val="FBFA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rPr>
            <a:t>Monthly Expense Trend</a:t>
          </a:r>
        </a:p>
      </xdr:txBody>
    </xdr:sp>
    <xdr:clientData/>
  </xdr:twoCellAnchor>
  <xdr:twoCellAnchor>
    <xdr:from>
      <xdr:col>11</xdr:col>
      <xdr:colOff>476251</xdr:colOff>
      <xdr:row>12</xdr:row>
      <xdr:rowOff>33564</xdr:rowOff>
    </xdr:from>
    <xdr:to>
      <xdr:col>22</xdr:col>
      <xdr:colOff>285750</xdr:colOff>
      <xdr:row>27</xdr:row>
      <xdr:rowOff>40821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AFC4BB18-74F1-4827-9310-00A96A5F9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471143</xdr:colOff>
      <xdr:row>29</xdr:row>
      <xdr:rowOff>64631</xdr:rowOff>
    </xdr:from>
    <xdr:to>
      <xdr:col>22</xdr:col>
      <xdr:colOff>353785</xdr:colOff>
      <xdr:row>47</xdr:row>
      <xdr:rowOff>68036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6EC44B9D-233C-41C8-B895-C65BCBC2B292}"/>
            </a:ext>
          </a:extLst>
        </xdr:cNvPr>
        <xdr:cNvSpPr/>
      </xdr:nvSpPr>
      <xdr:spPr>
        <a:xfrm>
          <a:off x="6934536" y="5589131"/>
          <a:ext cx="6618178" cy="3432405"/>
        </a:xfrm>
        <a:prstGeom prst="roundRect">
          <a:avLst>
            <a:gd name="adj" fmla="val 5953"/>
          </a:avLst>
        </a:prstGeom>
        <a:solidFill>
          <a:srgbClr val="FBFA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rPr>
            <a:t>Department vs. Category Breakdown</a:t>
          </a:r>
        </a:p>
      </xdr:txBody>
    </xdr:sp>
    <xdr:clientData/>
  </xdr:twoCellAnchor>
  <xdr:twoCellAnchor>
    <xdr:from>
      <xdr:col>11</xdr:col>
      <xdr:colOff>503464</xdr:colOff>
      <xdr:row>31</xdr:row>
      <xdr:rowOff>95250</xdr:rowOff>
    </xdr:from>
    <xdr:to>
      <xdr:col>22</xdr:col>
      <xdr:colOff>299357</xdr:colOff>
      <xdr:row>46</xdr:row>
      <xdr:rowOff>136071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4A0DE079-ABA2-4AE3-9902-7B000C51C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m Acharya" refreshedDate="46090.679075810185" createdVersion="7" refreshedVersion="7" minRefreshableVersion="3" recordCount="100" xr:uid="{9CE15C61-D80A-4EA1-8586-E206111A0960}">
  <cacheSource type="worksheet">
    <worksheetSource name="office_expenses_data"/>
  </cacheSource>
  <cacheFields count="6">
    <cacheField name="Date" numFmtId="14">
      <sharedItems containsSemiMixedTypes="0" containsNonDate="0" containsDate="1" containsString="0" minDate="2024-01-01T00:00:00" maxDate="2024-05-31T00:00:00" count="75">
        <d v="2024-01-01T00:00:00"/>
        <d v="2024-01-02T00:00:00"/>
        <d v="2024-01-03T00:00:00"/>
        <d v="2024-01-07T00:00:00"/>
        <d v="2024-01-08T00:00:00"/>
        <d v="2024-01-11T00:00:00"/>
        <d v="2024-01-12T00:00:00"/>
        <d v="2024-01-13T00:00:00"/>
        <d v="2024-01-14T00:00:00"/>
        <d v="2024-01-15T00:00:00"/>
        <d v="2024-01-18T00:00:00"/>
        <d v="2024-01-19T00:00:00"/>
        <d v="2024-01-21T00:00:00"/>
        <d v="2024-01-26T00:00:00"/>
        <d v="2024-01-27T00:00:00"/>
        <d v="2024-01-28T00:00:00"/>
        <d v="2024-01-29T00:00:00"/>
        <d v="2024-02-03T00:00:00"/>
        <d v="2024-02-04T00:00:00"/>
        <d v="2024-02-05T00:00:00"/>
        <d v="2024-02-08T00:00:00"/>
        <d v="2024-02-11T00:00:00"/>
        <d v="2024-02-18T00:00:00"/>
        <d v="2024-02-21T00:00:00"/>
        <d v="2024-02-23T00:00:00"/>
        <d v="2024-02-24T00:00:00"/>
        <d v="2024-02-27T00:00:00"/>
        <d v="2024-02-28T00:00:00"/>
        <d v="2024-03-01T00:00:00"/>
        <d v="2024-03-03T00:00:00"/>
        <d v="2024-03-04T00:00:00"/>
        <d v="2024-03-08T00:00:00"/>
        <d v="2024-03-11T00:00:00"/>
        <d v="2024-03-12T00:00:00"/>
        <d v="2024-03-16T00:00:00"/>
        <d v="2024-03-17T00:00:00"/>
        <d v="2024-03-21T00:00:00"/>
        <d v="2024-03-23T00:00:00"/>
        <d v="2024-03-27T00:00:00"/>
        <d v="2024-03-28T00:00:00"/>
        <d v="2024-03-31T00:00:00"/>
        <d v="2024-04-01T00:00:00"/>
        <d v="2024-04-02T00:00:00"/>
        <d v="2024-04-05T00:00:00"/>
        <d v="2024-04-06T00:00:00"/>
        <d v="2024-04-12T00:00:00"/>
        <d v="2024-04-14T00:00:00"/>
        <d v="2024-04-18T00:00:00"/>
        <d v="2024-04-20T00:00:00"/>
        <d v="2024-04-22T00:00:00"/>
        <d v="2024-04-23T00:00:00"/>
        <d v="2024-04-24T00:00:00"/>
        <d v="2024-04-26T00:00:00"/>
        <d v="2024-04-28T00:00:00"/>
        <d v="2024-04-29T00:00:00"/>
        <d v="2024-05-01T00:00:00"/>
        <d v="2024-05-04T00:00:00"/>
        <d v="2024-05-07T00:00:00"/>
        <d v="2024-05-08T00:00:00"/>
        <d v="2024-05-09T00:00:00"/>
        <d v="2024-05-10T00:00:00"/>
        <d v="2024-05-13T00:00:00"/>
        <d v="2024-05-15T00:00:00"/>
        <d v="2024-05-17T00:00:00"/>
        <d v="2024-05-18T00:00:00"/>
        <d v="2024-05-19T00:00:00"/>
        <d v="2024-05-20T00:00:00"/>
        <d v="2024-05-21T00:00:00"/>
        <d v="2024-05-22T00:00:00"/>
        <d v="2024-05-24T00:00:00"/>
        <d v="2024-05-25T00:00:00"/>
        <d v="2024-05-26T00:00:00"/>
        <d v="2024-05-28T00:00:00"/>
        <d v="2024-05-29T00:00:00"/>
        <d v="2024-05-30T00:00:00"/>
      </sharedItems>
      <fieldGroup par="5" base="0">
        <rangePr groupBy="days" startDate="2024-01-01T00:00:00" endDate="2024-05-3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1/2024"/>
        </groupItems>
      </fieldGroup>
    </cacheField>
    <cacheField name="Department" numFmtId="0">
      <sharedItems count="6">
        <s v="Operations"/>
        <s v="IT"/>
        <s v="Finance"/>
        <s v="Sales"/>
        <s v="HR"/>
        <s v="Marketing"/>
      </sharedItems>
    </cacheField>
    <cacheField name="Category" numFmtId="0">
      <sharedItems count="6">
        <s v="Supplies"/>
        <s v="Maintenance"/>
        <s v="Software"/>
        <s v="Rent"/>
        <s v="Travel"/>
        <s v="Utilities"/>
      </sharedItems>
    </cacheField>
    <cacheField name="Amount" numFmtId="164">
      <sharedItems containsSemiMixedTypes="0" containsString="0" containsNumber="1" minValue="65.239999999999995" maxValue="2953.06"/>
    </cacheField>
    <cacheField name="Description" numFmtId="0">
      <sharedItems/>
    </cacheField>
    <cacheField name="Months" numFmtId="0" databaseField="0">
      <fieldGroup base="0">
        <rangePr groupBy="months" startDate="2024-01-01T00:00:00" endDate="2024-05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279.43"/>
    <s v="Expense for Supplies"/>
  </r>
  <r>
    <x v="1"/>
    <x v="1"/>
    <x v="1"/>
    <n v="667.99"/>
    <s v="Expense for Maintenance"/>
  </r>
  <r>
    <x v="2"/>
    <x v="1"/>
    <x v="2"/>
    <n v="758.79"/>
    <s v="Expense for Software"/>
  </r>
  <r>
    <x v="2"/>
    <x v="2"/>
    <x v="1"/>
    <n v="203.1"/>
    <s v="Expense for Maintenance"/>
  </r>
  <r>
    <x v="3"/>
    <x v="3"/>
    <x v="3"/>
    <n v="2574.0300000000002"/>
    <s v="Expense for Rent"/>
  </r>
  <r>
    <x v="4"/>
    <x v="1"/>
    <x v="3"/>
    <n v="1848.99"/>
    <s v="Expense for Rent"/>
  </r>
  <r>
    <x v="5"/>
    <x v="4"/>
    <x v="3"/>
    <n v="2523.1"/>
    <s v="Expense for Rent"/>
  </r>
  <r>
    <x v="5"/>
    <x v="4"/>
    <x v="0"/>
    <n v="271.70999999999998"/>
    <s v="Expense for Supplies"/>
  </r>
  <r>
    <x v="6"/>
    <x v="2"/>
    <x v="4"/>
    <n v="897.1"/>
    <s v="Expense for Travel"/>
  </r>
  <r>
    <x v="6"/>
    <x v="2"/>
    <x v="3"/>
    <n v="2659.6"/>
    <s v="Expense for Rent"/>
  </r>
  <r>
    <x v="7"/>
    <x v="1"/>
    <x v="3"/>
    <n v="2441.17"/>
    <s v="Expense for Rent"/>
  </r>
  <r>
    <x v="8"/>
    <x v="1"/>
    <x v="1"/>
    <n v="481.22"/>
    <s v="Expense for Maintenance"/>
  </r>
  <r>
    <x v="8"/>
    <x v="2"/>
    <x v="1"/>
    <n v="985.75"/>
    <s v="Expense for Maintenance"/>
  </r>
  <r>
    <x v="9"/>
    <x v="5"/>
    <x v="2"/>
    <n v="653.78"/>
    <s v="Expense for Software"/>
  </r>
  <r>
    <x v="10"/>
    <x v="5"/>
    <x v="0"/>
    <n v="99.8"/>
    <s v="Expense for Supplies"/>
  </r>
  <r>
    <x v="10"/>
    <x v="2"/>
    <x v="3"/>
    <n v="2105.66"/>
    <s v="Expense for Rent"/>
  </r>
  <r>
    <x v="10"/>
    <x v="3"/>
    <x v="3"/>
    <n v="1692.59"/>
    <s v="Expense for Rent"/>
  </r>
  <r>
    <x v="11"/>
    <x v="1"/>
    <x v="4"/>
    <n v="1007.51"/>
    <s v="Expense for Travel"/>
  </r>
  <r>
    <x v="11"/>
    <x v="3"/>
    <x v="1"/>
    <n v="254.02"/>
    <s v="Expense for Maintenance"/>
  </r>
  <r>
    <x v="11"/>
    <x v="3"/>
    <x v="3"/>
    <n v="1917.72"/>
    <s v="Expense for Rent"/>
  </r>
  <r>
    <x v="12"/>
    <x v="0"/>
    <x v="1"/>
    <n v="625.30999999999995"/>
    <s v="Expense for Maintenance"/>
  </r>
  <r>
    <x v="12"/>
    <x v="5"/>
    <x v="2"/>
    <n v="335.09"/>
    <s v="Expense for Software"/>
  </r>
  <r>
    <x v="13"/>
    <x v="1"/>
    <x v="4"/>
    <n v="1146.68"/>
    <s v="Expense for Travel"/>
  </r>
  <r>
    <x v="14"/>
    <x v="4"/>
    <x v="5"/>
    <n v="453.65"/>
    <s v="Expense for Utilities"/>
  </r>
  <r>
    <x v="15"/>
    <x v="5"/>
    <x v="3"/>
    <n v="1785.31"/>
    <s v="Expense for Rent"/>
  </r>
  <r>
    <x v="15"/>
    <x v="2"/>
    <x v="0"/>
    <n v="255.67"/>
    <s v="Expense for Supplies"/>
  </r>
  <r>
    <x v="16"/>
    <x v="1"/>
    <x v="1"/>
    <n v="347.53"/>
    <s v="Expense for Maintenance"/>
  </r>
  <r>
    <x v="17"/>
    <x v="2"/>
    <x v="0"/>
    <n v="65.239999999999995"/>
    <s v="Expense for Supplies"/>
  </r>
  <r>
    <x v="18"/>
    <x v="4"/>
    <x v="2"/>
    <n v="717.28"/>
    <s v="Expense for Software"/>
  </r>
  <r>
    <x v="19"/>
    <x v="3"/>
    <x v="4"/>
    <n v="318.18"/>
    <s v="Expense for Travel"/>
  </r>
  <r>
    <x v="20"/>
    <x v="3"/>
    <x v="2"/>
    <n v="675.95"/>
    <s v="Expense for Software"/>
  </r>
  <r>
    <x v="21"/>
    <x v="3"/>
    <x v="5"/>
    <n v="467.4"/>
    <s v="Expense for Utilities"/>
  </r>
  <r>
    <x v="22"/>
    <x v="4"/>
    <x v="3"/>
    <n v="2953.06"/>
    <s v="Expense for Rent"/>
  </r>
  <r>
    <x v="23"/>
    <x v="2"/>
    <x v="0"/>
    <n v="131.72"/>
    <s v="Expense for Supplies"/>
  </r>
  <r>
    <x v="24"/>
    <x v="2"/>
    <x v="0"/>
    <n v="77.010000000000005"/>
    <s v="Expense for Supplies"/>
  </r>
  <r>
    <x v="25"/>
    <x v="0"/>
    <x v="2"/>
    <n v="173.48"/>
    <s v="Expense for Software"/>
  </r>
  <r>
    <x v="26"/>
    <x v="5"/>
    <x v="1"/>
    <n v="192.25"/>
    <s v="Expense for Maintenance"/>
  </r>
  <r>
    <x v="27"/>
    <x v="1"/>
    <x v="2"/>
    <n v="694.73"/>
    <s v="Expense for Software"/>
  </r>
  <r>
    <x v="28"/>
    <x v="5"/>
    <x v="4"/>
    <n v="831.33"/>
    <s v="Expense for Travel"/>
  </r>
  <r>
    <x v="29"/>
    <x v="5"/>
    <x v="4"/>
    <n v="693.29"/>
    <s v="Expense for Travel"/>
  </r>
  <r>
    <x v="30"/>
    <x v="5"/>
    <x v="2"/>
    <n v="303.56"/>
    <s v="Expense for Software"/>
  </r>
  <r>
    <x v="31"/>
    <x v="5"/>
    <x v="3"/>
    <n v="2617.48"/>
    <s v="Expense for Rent"/>
  </r>
  <r>
    <x v="31"/>
    <x v="3"/>
    <x v="4"/>
    <n v="526.46"/>
    <s v="Expense for Travel"/>
  </r>
  <r>
    <x v="31"/>
    <x v="3"/>
    <x v="3"/>
    <n v="2261.52"/>
    <s v="Expense for Rent"/>
  </r>
  <r>
    <x v="32"/>
    <x v="1"/>
    <x v="2"/>
    <n v="300.17"/>
    <s v="Expense for Software"/>
  </r>
  <r>
    <x v="33"/>
    <x v="1"/>
    <x v="3"/>
    <n v="2547.21"/>
    <s v="Expense for Rent"/>
  </r>
  <r>
    <x v="34"/>
    <x v="0"/>
    <x v="3"/>
    <n v="2180.59"/>
    <s v="Expense for Rent"/>
  </r>
  <r>
    <x v="35"/>
    <x v="0"/>
    <x v="0"/>
    <n v="280.13"/>
    <s v="Expense for Supplies"/>
  </r>
  <r>
    <x v="35"/>
    <x v="2"/>
    <x v="2"/>
    <n v="754.2"/>
    <s v="Expense for Software"/>
  </r>
  <r>
    <x v="36"/>
    <x v="1"/>
    <x v="2"/>
    <n v="488.13"/>
    <s v="Expense for Software"/>
  </r>
  <r>
    <x v="36"/>
    <x v="5"/>
    <x v="0"/>
    <n v="130.82"/>
    <s v="Expense for Supplies"/>
  </r>
  <r>
    <x v="37"/>
    <x v="0"/>
    <x v="2"/>
    <n v="133.9"/>
    <s v="Expense for Software"/>
  </r>
  <r>
    <x v="38"/>
    <x v="1"/>
    <x v="2"/>
    <n v="334.95"/>
    <s v="Expense for Software"/>
  </r>
  <r>
    <x v="39"/>
    <x v="4"/>
    <x v="3"/>
    <n v="1822.97"/>
    <s v="Expense for Rent"/>
  </r>
  <r>
    <x v="40"/>
    <x v="5"/>
    <x v="1"/>
    <n v="340.28"/>
    <s v="Expense for Maintenance"/>
  </r>
  <r>
    <x v="41"/>
    <x v="4"/>
    <x v="5"/>
    <n v="205.81"/>
    <s v="Expense for Utilities"/>
  </r>
  <r>
    <x v="42"/>
    <x v="4"/>
    <x v="3"/>
    <n v="1586.89"/>
    <s v="Expense for Rent"/>
  </r>
  <r>
    <x v="42"/>
    <x v="3"/>
    <x v="3"/>
    <n v="2556.86"/>
    <s v="Expense for Rent"/>
  </r>
  <r>
    <x v="43"/>
    <x v="0"/>
    <x v="5"/>
    <n v="280.58999999999997"/>
    <s v="Expense for Utilities"/>
  </r>
  <r>
    <x v="44"/>
    <x v="1"/>
    <x v="5"/>
    <n v="217.27"/>
    <s v="Expense for Utilities"/>
  </r>
  <r>
    <x v="45"/>
    <x v="4"/>
    <x v="2"/>
    <n v="208.24"/>
    <s v="Expense for Software"/>
  </r>
  <r>
    <x v="46"/>
    <x v="3"/>
    <x v="1"/>
    <n v="239.1"/>
    <s v="Expense for Maintenance"/>
  </r>
  <r>
    <x v="47"/>
    <x v="3"/>
    <x v="2"/>
    <n v="338.58"/>
    <s v="Expense for Software"/>
  </r>
  <r>
    <x v="47"/>
    <x v="5"/>
    <x v="5"/>
    <n v="402.11"/>
    <s v="Expense for Utilities"/>
  </r>
  <r>
    <x v="48"/>
    <x v="4"/>
    <x v="4"/>
    <n v="734.43"/>
    <s v="Expense for Travel"/>
  </r>
  <r>
    <x v="49"/>
    <x v="3"/>
    <x v="1"/>
    <n v="372.27"/>
    <s v="Expense for Maintenance"/>
  </r>
  <r>
    <x v="50"/>
    <x v="3"/>
    <x v="1"/>
    <n v="484.92"/>
    <s v="Expense for Maintenance"/>
  </r>
  <r>
    <x v="51"/>
    <x v="5"/>
    <x v="4"/>
    <n v="438.53"/>
    <s v="Expense for Travel"/>
  </r>
  <r>
    <x v="52"/>
    <x v="4"/>
    <x v="4"/>
    <n v="1105.57"/>
    <s v="Expense for Travel"/>
  </r>
  <r>
    <x v="52"/>
    <x v="2"/>
    <x v="0"/>
    <n v="65.540000000000006"/>
    <s v="Expense for Supplies"/>
  </r>
  <r>
    <x v="53"/>
    <x v="5"/>
    <x v="2"/>
    <n v="382.35"/>
    <s v="Expense for Software"/>
  </r>
  <r>
    <x v="54"/>
    <x v="3"/>
    <x v="0"/>
    <n v="291.89999999999998"/>
    <s v="Expense for Supplies"/>
  </r>
  <r>
    <x v="55"/>
    <x v="0"/>
    <x v="3"/>
    <n v="1641.49"/>
    <s v="Expense for Rent"/>
  </r>
  <r>
    <x v="55"/>
    <x v="3"/>
    <x v="3"/>
    <n v="1897.58"/>
    <s v="Expense for Rent"/>
  </r>
  <r>
    <x v="56"/>
    <x v="5"/>
    <x v="5"/>
    <n v="152.91999999999999"/>
    <s v="Expense for Utilities"/>
  </r>
  <r>
    <x v="57"/>
    <x v="0"/>
    <x v="1"/>
    <n v="512.97"/>
    <s v="Expense for Maintenance"/>
  </r>
  <r>
    <x v="58"/>
    <x v="3"/>
    <x v="3"/>
    <n v="1585.32"/>
    <s v="Expense for Rent"/>
  </r>
  <r>
    <x v="59"/>
    <x v="4"/>
    <x v="3"/>
    <n v="2899.89"/>
    <s v="Expense for Rent"/>
  </r>
  <r>
    <x v="59"/>
    <x v="3"/>
    <x v="3"/>
    <n v="1729.26"/>
    <s v="Expense for Rent"/>
  </r>
  <r>
    <x v="60"/>
    <x v="1"/>
    <x v="3"/>
    <n v="1602.78"/>
    <s v="Expense for Rent"/>
  </r>
  <r>
    <x v="61"/>
    <x v="4"/>
    <x v="0"/>
    <n v="77.19"/>
    <s v="Expense for Supplies"/>
  </r>
  <r>
    <x v="62"/>
    <x v="1"/>
    <x v="1"/>
    <n v="835.39"/>
    <s v="Expense for Maintenance"/>
  </r>
  <r>
    <x v="63"/>
    <x v="4"/>
    <x v="1"/>
    <n v="406.16"/>
    <s v="Expense for Maintenance"/>
  </r>
  <r>
    <x v="63"/>
    <x v="4"/>
    <x v="1"/>
    <n v="626.13"/>
    <s v="Expense for Maintenance"/>
  </r>
  <r>
    <x v="64"/>
    <x v="1"/>
    <x v="2"/>
    <n v="744.78"/>
    <s v="Expense for Software"/>
  </r>
  <r>
    <x v="65"/>
    <x v="0"/>
    <x v="3"/>
    <n v="2173.81"/>
    <s v="Expense for Rent"/>
  </r>
  <r>
    <x v="65"/>
    <x v="1"/>
    <x v="5"/>
    <n v="268.77"/>
    <s v="Expense for Utilities"/>
  </r>
  <r>
    <x v="66"/>
    <x v="1"/>
    <x v="2"/>
    <n v="539.11"/>
    <s v="Expense for Software"/>
  </r>
  <r>
    <x v="67"/>
    <x v="5"/>
    <x v="0"/>
    <n v="98.89"/>
    <s v="Expense for Supplies"/>
  </r>
  <r>
    <x v="68"/>
    <x v="5"/>
    <x v="1"/>
    <n v="391.85"/>
    <s v="Expense for Maintenance"/>
  </r>
  <r>
    <x v="68"/>
    <x v="2"/>
    <x v="1"/>
    <n v="538"/>
    <s v="Expense for Maintenance"/>
  </r>
  <r>
    <x v="69"/>
    <x v="1"/>
    <x v="2"/>
    <n v="453.23"/>
    <s v="Expense for Software"/>
  </r>
  <r>
    <x v="70"/>
    <x v="5"/>
    <x v="5"/>
    <n v="337.81"/>
    <s v="Expense for Utilities"/>
  </r>
  <r>
    <x v="70"/>
    <x v="1"/>
    <x v="2"/>
    <n v="598.92999999999995"/>
    <s v="Expense for Software"/>
  </r>
  <r>
    <x v="70"/>
    <x v="2"/>
    <x v="0"/>
    <n v="79.540000000000006"/>
    <s v="Expense for Supplies"/>
  </r>
  <r>
    <x v="71"/>
    <x v="3"/>
    <x v="4"/>
    <n v="515.9"/>
    <s v="Expense for Travel"/>
  </r>
  <r>
    <x v="72"/>
    <x v="2"/>
    <x v="5"/>
    <n v="124.38"/>
    <s v="Expense for Utilities"/>
  </r>
  <r>
    <x v="73"/>
    <x v="0"/>
    <x v="0"/>
    <n v="81.41"/>
    <s v="Expense for Supplies"/>
  </r>
  <r>
    <x v="73"/>
    <x v="3"/>
    <x v="3"/>
    <n v="2144.6799999999998"/>
    <s v="Expense for Rent"/>
  </r>
  <r>
    <x v="74"/>
    <x v="3"/>
    <x v="3"/>
    <n v="2382.66"/>
    <s v="Expense for R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A061F-BE88-488B-9E9C-08ED93A5C87D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6:H7" firstHeaderRow="1" firstDataRow="1" firstDataCol="0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Amount" fld="3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66146-707D-4D0C-A8F2-400776143BC6}" name="Monthly Expense Trend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J4:K10" firstHeaderRow="1" firstDataRow="1" firstDataCol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3" baseField="0" baseItem="0"/>
  </dataFields>
  <formats count="11">
    <format dxfId="10">
      <pivotArea collapsedLevelsAreSubtotals="1" fieldPosition="0">
        <references count="1">
          <reference field="5" count="1">
            <x v="1"/>
          </reference>
        </references>
      </pivotArea>
    </format>
    <format dxfId="9">
      <pivotArea collapsedLevelsAreSubtotals="1" fieldPosition="0">
        <references count="1">
          <reference field="5" count="1">
            <x v="2"/>
          </reference>
        </references>
      </pivotArea>
    </format>
    <format dxfId="8">
      <pivotArea collapsedLevelsAreSubtotals="1" fieldPosition="0">
        <references count="1">
          <reference field="5" count="1">
            <x v="3"/>
          </reference>
        </references>
      </pivotArea>
    </format>
    <format dxfId="7">
      <pivotArea collapsedLevelsAreSubtotals="1" fieldPosition="0">
        <references count="1">
          <reference field="5" count="1">
            <x v="4"/>
          </reference>
        </references>
      </pivotArea>
    </format>
    <format dxfId="6">
      <pivotArea collapsedLevelsAreSubtotals="1" fieldPosition="0">
        <references count="1">
          <reference field="5" count="1">
            <x v="5"/>
          </reference>
        </references>
      </pivotArea>
    </format>
    <format dxfId="5">
      <pivotArea collapsedLevelsAreSubtotals="1" fieldPosition="0">
        <references count="1">
          <reference field="5" count="1">
            <x v="1"/>
          </reference>
        </references>
      </pivotArea>
    </format>
    <format dxfId="4">
      <pivotArea collapsedLevelsAreSubtotals="1" fieldPosition="0">
        <references count="1">
          <reference field="5" count="1">
            <x v="2"/>
          </reference>
        </references>
      </pivotArea>
    </format>
    <format dxfId="3">
      <pivotArea collapsedLevelsAreSubtotals="1" fieldPosition="0">
        <references count="1">
          <reference field="5" count="1">
            <x v="3"/>
          </reference>
        </references>
      </pivotArea>
    </format>
    <format dxfId="2">
      <pivotArea collapsedLevelsAreSubtotals="1" fieldPosition="0">
        <references count="1">
          <reference field="5" count="1">
            <x v="4"/>
          </reference>
        </references>
      </pivotArea>
    </format>
    <format dxfId="1">
      <pivotArea collapsedLevelsAreSubtotals="1" fieldPosition="0">
        <references count="1">
          <reference field="5" count="1">
            <x v="5"/>
          </reference>
        </references>
      </pivotArea>
    </format>
    <format dxfId="0">
      <pivotArea dataOnly="0" labelOnly="1" fieldPosition="0">
        <references count="1">
          <reference field="5" count="5">
            <x v="1"/>
            <x v="2"/>
            <x v="3"/>
            <x v="4"/>
            <x v="5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31A61-5792-4A9C-BF5A-92A0892F13F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B4" firstHeaderRow="1" firstDataRow="1" firstDataCol="0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Amount" fld="3" baseField="0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C5AC6-7741-42AB-9A48-408A16C82B2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9:H27" firstHeaderRow="1" firstDataRow="2" firstDataCol="1"/>
  <pivotFields count="6">
    <pivotField numFmtId="14" showAll="0"/>
    <pivotField axis="axisRow" showAll="0">
      <items count="7">
        <item x="2"/>
        <item x="4"/>
        <item x="1"/>
        <item x="5"/>
        <item x="0"/>
        <item x="3"/>
        <item t="default"/>
      </items>
    </pivotField>
    <pivotField axis="axisCol" showAll="0">
      <items count="7">
        <item x="1"/>
        <item x="3"/>
        <item x="2"/>
        <item x="0"/>
        <item x="4"/>
        <item x="5"/>
        <item t="default"/>
      </items>
    </pivotField>
    <pivotField dataField="1" numFmtId="164" showAll="0"/>
    <pivotField showAll="0"/>
    <pivotField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3" baseField="0" baseItem="0" numFmtId="164"/>
  </dataFields>
  <formats count="1">
    <format dxfId="12">
      <pivotArea outline="0" collapsedLevelsAreSubtotals="1" fieldPosition="0"/>
    </format>
  </formats>
  <chartFormats count="18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07AC8-3F5C-4496-AC55-92231393872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4">
  <location ref="A8:B15" firstHeaderRow="1" firstDataRow="1" firstDataCol="1"/>
  <pivotFields count="6"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 sortType="descending">
      <items count="7">
        <item x="2"/>
        <item x="4"/>
        <item x="1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64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 v="5"/>
    </i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Sum of Amount" fld="3" baseField="0" baseItem="0"/>
  </dataFields>
  <formats count="1">
    <format dxfId="13">
      <pivotArea collapsedLevelsAreSubtotals="1" fieldPosition="0">
        <references count="1">
          <reference field="1" count="0"/>
        </references>
      </pivotArea>
    </format>
  </formats>
  <chartFormats count="7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66E6F-5775-40AD-8FD2-F350535D0A6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5:E12" firstHeaderRow="1" firstDataRow="1" firstDataCol="1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7">
        <item x="1"/>
        <item x="3"/>
        <item x="2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1"/>
    </i>
    <i>
      <x v="2"/>
    </i>
    <i>
      <x/>
    </i>
    <i>
      <x v="4"/>
    </i>
    <i>
      <x v="5"/>
    </i>
    <i>
      <x v="3"/>
    </i>
    <i t="grand">
      <x/>
    </i>
  </rowItems>
  <colItems count="1">
    <i/>
  </colItems>
  <dataFields count="1">
    <dataField name="Sum of Amount" fld="3" baseField="0" baseItem="0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12A78-A9B5-4CFA-8922-369E5301763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3:H4" firstHeaderRow="1" firstDataRow="1" firstDataCol="0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Amount" fld="3" subtotal="average" baseField="0" baseItem="9" numFmtId="164"/>
  </dataFields>
  <formats count="2">
    <format dxfId="15">
      <pivotArea dataOnly="0" labelOnly="1" outline="0" axis="axisValues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CD8DCA-3931-4D2F-9043-5923744E008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epartment" tableColumnId="2"/>
      <queryTableField id="3" name="Category" tableColumnId="3"/>
      <queryTableField id="4" name="Amount" tableColumnId="4"/>
      <queryTableField id="5" name="Descrip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9431B-DEE5-4D8B-814B-D42FD073F785}" name="office_expenses_data" displayName="office_expenses_data" ref="A1:E101" tableType="queryTable" totalsRowShown="0" headerRowDxfId="22" tableBorderDxfId="21">
  <autoFilter ref="A1:E101" xr:uid="{3EB9431B-DEE5-4D8B-814B-D42FD073F785}"/>
  <tableColumns count="5">
    <tableColumn id="1" xr3:uid="{3F5C60CA-480B-4544-8ADA-AA0F0C648D43}" uniqueName="1" name="Date" queryTableFieldId="1" dataDxfId="20"/>
    <tableColumn id="2" xr3:uid="{588BEA22-BAE6-45EF-ABD5-80500B41F7BB}" uniqueName="2" name="Department" queryTableFieldId="2" dataDxfId="19"/>
    <tableColumn id="3" xr3:uid="{8AB0E66D-F77F-40F3-89E7-9CCE01D3BF12}" uniqueName="3" name="Category" queryTableFieldId="3" dataDxfId="18"/>
    <tableColumn id="4" xr3:uid="{133B8AD1-C224-4FF4-A918-54248529FBA8}" uniqueName="4" name="Amount" queryTableFieldId="4" dataDxfId="17"/>
    <tableColumn id="5" xr3:uid="{10A43D58-682A-4157-B3D7-A35664568FC0}" uniqueName="5" name="Description" queryTableFieldId="5" dataDxfId="1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5651-5F67-47C5-9105-BC059CB1023B}">
  <dimension ref="A1:E101"/>
  <sheetViews>
    <sheetView tabSelected="1" workbookViewId="0">
      <selection activeCell="H14" sqref="H14"/>
    </sheetView>
  </sheetViews>
  <sheetFormatPr defaultRowHeight="15" x14ac:dyDescent="0.25"/>
  <cols>
    <col min="1" max="1" width="9.42578125" bestFit="1" customWidth="1"/>
    <col min="2" max="2" width="14.140625" bestFit="1" customWidth="1"/>
    <col min="3" max="3" width="12.42578125" bestFit="1" customWidth="1"/>
    <col min="4" max="4" width="10.28515625" style="6" bestFit="1" customWidth="1"/>
    <col min="5" max="5" width="23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</row>
    <row r="2" spans="1:5" x14ac:dyDescent="0.25">
      <c r="A2" s="3">
        <v>45292</v>
      </c>
      <c r="B2" s="4" t="s">
        <v>5</v>
      </c>
      <c r="C2" s="4" t="s">
        <v>6</v>
      </c>
      <c r="D2" s="5">
        <v>279.43</v>
      </c>
      <c r="E2" s="4" t="s">
        <v>7</v>
      </c>
    </row>
    <row r="3" spans="1:5" x14ac:dyDescent="0.25">
      <c r="A3" s="3">
        <v>45293</v>
      </c>
      <c r="B3" s="4" t="s">
        <v>8</v>
      </c>
      <c r="C3" s="4" t="s">
        <v>9</v>
      </c>
      <c r="D3" s="5">
        <v>667.99</v>
      </c>
      <c r="E3" s="4" t="s">
        <v>10</v>
      </c>
    </row>
    <row r="4" spans="1:5" x14ac:dyDescent="0.25">
      <c r="A4" s="3">
        <v>45294</v>
      </c>
      <c r="B4" s="4" t="s">
        <v>8</v>
      </c>
      <c r="C4" s="4" t="s">
        <v>11</v>
      </c>
      <c r="D4" s="5">
        <v>758.79</v>
      </c>
      <c r="E4" s="4" t="s">
        <v>12</v>
      </c>
    </row>
    <row r="5" spans="1:5" x14ac:dyDescent="0.25">
      <c r="A5" s="3">
        <v>45294</v>
      </c>
      <c r="B5" s="4" t="s">
        <v>13</v>
      </c>
      <c r="C5" s="4" t="s">
        <v>9</v>
      </c>
      <c r="D5" s="5">
        <v>203.1</v>
      </c>
      <c r="E5" s="4" t="s">
        <v>10</v>
      </c>
    </row>
    <row r="6" spans="1:5" x14ac:dyDescent="0.25">
      <c r="A6" s="3">
        <v>45298</v>
      </c>
      <c r="B6" s="4" t="s">
        <v>14</v>
      </c>
      <c r="C6" s="4" t="s">
        <v>15</v>
      </c>
      <c r="D6" s="5">
        <v>2574.0300000000002</v>
      </c>
      <c r="E6" s="4" t="s">
        <v>16</v>
      </c>
    </row>
    <row r="7" spans="1:5" x14ac:dyDescent="0.25">
      <c r="A7" s="3">
        <v>45299</v>
      </c>
      <c r="B7" s="4" t="s">
        <v>8</v>
      </c>
      <c r="C7" s="4" t="s">
        <v>15</v>
      </c>
      <c r="D7" s="5">
        <v>1848.99</v>
      </c>
      <c r="E7" s="4" t="s">
        <v>16</v>
      </c>
    </row>
    <row r="8" spans="1:5" x14ac:dyDescent="0.25">
      <c r="A8" s="3">
        <v>45302</v>
      </c>
      <c r="B8" s="4" t="s">
        <v>17</v>
      </c>
      <c r="C8" s="4" t="s">
        <v>15</v>
      </c>
      <c r="D8" s="5">
        <v>2523.1</v>
      </c>
      <c r="E8" s="4" t="s">
        <v>16</v>
      </c>
    </row>
    <row r="9" spans="1:5" x14ac:dyDescent="0.25">
      <c r="A9" s="3">
        <v>45302</v>
      </c>
      <c r="B9" s="4" t="s">
        <v>17</v>
      </c>
      <c r="C9" s="4" t="s">
        <v>6</v>
      </c>
      <c r="D9" s="5">
        <v>271.70999999999998</v>
      </c>
      <c r="E9" s="4" t="s">
        <v>7</v>
      </c>
    </row>
    <row r="10" spans="1:5" x14ac:dyDescent="0.25">
      <c r="A10" s="3">
        <v>45303</v>
      </c>
      <c r="B10" s="4" t="s">
        <v>13</v>
      </c>
      <c r="C10" s="4" t="s">
        <v>18</v>
      </c>
      <c r="D10" s="5">
        <v>897.1</v>
      </c>
      <c r="E10" s="4" t="s">
        <v>19</v>
      </c>
    </row>
    <row r="11" spans="1:5" x14ac:dyDescent="0.25">
      <c r="A11" s="3">
        <v>45303</v>
      </c>
      <c r="B11" s="4" t="s">
        <v>13</v>
      </c>
      <c r="C11" s="4" t="s">
        <v>15</v>
      </c>
      <c r="D11" s="5">
        <v>2659.6</v>
      </c>
      <c r="E11" s="4" t="s">
        <v>16</v>
      </c>
    </row>
    <row r="12" spans="1:5" x14ac:dyDescent="0.25">
      <c r="A12" s="3">
        <v>45304</v>
      </c>
      <c r="B12" s="4" t="s">
        <v>8</v>
      </c>
      <c r="C12" s="4" t="s">
        <v>15</v>
      </c>
      <c r="D12" s="5">
        <v>2441.17</v>
      </c>
      <c r="E12" s="4" t="s">
        <v>16</v>
      </c>
    </row>
    <row r="13" spans="1:5" x14ac:dyDescent="0.25">
      <c r="A13" s="3">
        <v>45305</v>
      </c>
      <c r="B13" s="4" t="s">
        <v>8</v>
      </c>
      <c r="C13" s="4" t="s">
        <v>9</v>
      </c>
      <c r="D13" s="5">
        <v>481.22</v>
      </c>
      <c r="E13" s="4" t="s">
        <v>10</v>
      </c>
    </row>
    <row r="14" spans="1:5" x14ac:dyDescent="0.25">
      <c r="A14" s="3">
        <v>45305</v>
      </c>
      <c r="B14" s="4" t="s">
        <v>13</v>
      </c>
      <c r="C14" s="4" t="s">
        <v>9</v>
      </c>
      <c r="D14" s="5">
        <v>985.75</v>
      </c>
      <c r="E14" s="4" t="s">
        <v>10</v>
      </c>
    </row>
    <row r="15" spans="1:5" x14ac:dyDescent="0.25">
      <c r="A15" s="3">
        <v>45306</v>
      </c>
      <c r="B15" s="4" t="s">
        <v>20</v>
      </c>
      <c r="C15" s="4" t="s">
        <v>11</v>
      </c>
      <c r="D15" s="5">
        <v>653.78</v>
      </c>
      <c r="E15" s="4" t="s">
        <v>12</v>
      </c>
    </row>
    <row r="16" spans="1:5" x14ac:dyDescent="0.25">
      <c r="A16" s="3">
        <v>45309</v>
      </c>
      <c r="B16" s="4" t="s">
        <v>20</v>
      </c>
      <c r="C16" s="4" t="s">
        <v>6</v>
      </c>
      <c r="D16" s="5">
        <v>99.8</v>
      </c>
      <c r="E16" s="4" t="s">
        <v>7</v>
      </c>
    </row>
    <row r="17" spans="1:5" x14ac:dyDescent="0.25">
      <c r="A17" s="3">
        <v>45309</v>
      </c>
      <c r="B17" s="4" t="s">
        <v>13</v>
      </c>
      <c r="C17" s="4" t="s">
        <v>15</v>
      </c>
      <c r="D17" s="5">
        <v>2105.66</v>
      </c>
      <c r="E17" s="4" t="s">
        <v>16</v>
      </c>
    </row>
    <row r="18" spans="1:5" x14ac:dyDescent="0.25">
      <c r="A18" s="3">
        <v>45309</v>
      </c>
      <c r="B18" s="4" t="s">
        <v>14</v>
      </c>
      <c r="C18" s="4" t="s">
        <v>15</v>
      </c>
      <c r="D18" s="5">
        <v>1692.59</v>
      </c>
      <c r="E18" s="4" t="s">
        <v>16</v>
      </c>
    </row>
    <row r="19" spans="1:5" x14ac:dyDescent="0.25">
      <c r="A19" s="3">
        <v>45310</v>
      </c>
      <c r="B19" s="4" t="s">
        <v>8</v>
      </c>
      <c r="C19" s="4" t="s">
        <v>18</v>
      </c>
      <c r="D19" s="5">
        <v>1007.51</v>
      </c>
      <c r="E19" s="4" t="s">
        <v>19</v>
      </c>
    </row>
    <row r="20" spans="1:5" x14ac:dyDescent="0.25">
      <c r="A20" s="3">
        <v>45310</v>
      </c>
      <c r="B20" s="4" t="s">
        <v>14</v>
      </c>
      <c r="C20" s="4" t="s">
        <v>9</v>
      </c>
      <c r="D20" s="5">
        <v>254.02</v>
      </c>
      <c r="E20" s="4" t="s">
        <v>10</v>
      </c>
    </row>
    <row r="21" spans="1:5" x14ac:dyDescent="0.25">
      <c r="A21" s="3">
        <v>45310</v>
      </c>
      <c r="B21" s="4" t="s">
        <v>14</v>
      </c>
      <c r="C21" s="4" t="s">
        <v>15</v>
      </c>
      <c r="D21" s="5">
        <v>1917.72</v>
      </c>
      <c r="E21" s="4" t="s">
        <v>16</v>
      </c>
    </row>
    <row r="22" spans="1:5" x14ac:dyDescent="0.25">
      <c r="A22" s="3">
        <v>45312</v>
      </c>
      <c r="B22" s="4" t="s">
        <v>5</v>
      </c>
      <c r="C22" s="4" t="s">
        <v>9</v>
      </c>
      <c r="D22" s="5">
        <v>625.30999999999995</v>
      </c>
      <c r="E22" s="4" t="s">
        <v>10</v>
      </c>
    </row>
    <row r="23" spans="1:5" x14ac:dyDescent="0.25">
      <c r="A23" s="3">
        <v>45312</v>
      </c>
      <c r="B23" s="4" t="s">
        <v>20</v>
      </c>
      <c r="C23" s="4" t="s">
        <v>11</v>
      </c>
      <c r="D23" s="5">
        <v>335.09</v>
      </c>
      <c r="E23" s="4" t="s">
        <v>12</v>
      </c>
    </row>
    <row r="24" spans="1:5" x14ac:dyDescent="0.25">
      <c r="A24" s="3">
        <v>45317</v>
      </c>
      <c r="B24" s="4" t="s">
        <v>8</v>
      </c>
      <c r="C24" s="4" t="s">
        <v>18</v>
      </c>
      <c r="D24" s="5">
        <v>1146.68</v>
      </c>
      <c r="E24" s="4" t="s">
        <v>19</v>
      </c>
    </row>
    <row r="25" spans="1:5" x14ac:dyDescent="0.25">
      <c r="A25" s="3">
        <v>45318</v>
      </c>
      <c r="B25" s="4" t="s">
        <v>17</v>
      </c>
      <c r="C25" s="4" t="s">
        <v>21</v>
      </c>
      <c r="D25" s="5">
        <v>453.65</v>
      </c>
      <c r="E25" s="4" t="s">
        <v>22</v>
      </c>
    </row>
    <row r="26" spans="1:5" x14ac:dyDescent="0.25">
      <c r="A26" s="3">
        <v>45319</v>
      </c>
      <c r="B26" s="4" t="s">
        <v>20</v>
      </c>
      <c r="C26" s="4" t="s">
        <v>15</v>
      </c>
      <c r="D26" s="5">
        <v>1785.31</v>
      </c>
      <c r="E26" s="4" t="s">
        <v>16</v>
      </c>
    </row>
    <row r="27" spans="1:5" x14ac:dyDescent="0.25">
      <c r="A27" s="3">
        <v>45319</v>
      </c>
      <c r="B27" s="4" t="s">
        <v>13</v>
      </c>
      <c r="C27" s="4" t="s">
        <v>6</v>
      </c>
      <c r="D27" s="5">
        <v>255.67</v>
      </c>
      <c r="E27" s="4" t="s">
        <v>7</v>
      </c>
    </row>
    <row r="28" spans="1:5" x14ac:dyDescent="0.25">
      <c r="A28" s="3">
        <v>45320</v>
      </c>
      <c r="B28" s="4" t="s">
        <v>8</v>
      </c>
      <c r="C28" s="4" t="s">
        <v>9</v>
      </c>
      <c r="D28" s="5">
        <v>347.53</v>
      </c>
      <c r="E28" s="4" t="s">
        <v>10</v>
      </c>
    </row>
    <row r="29" spans="1:5" x14ac:dyDescent="0.25">
      <c r="A29" s="3">
        <v>45325</v>
      </c>
      <c r="B29" s="4" t="s">
        <v>13</v>
      </c>
      <c r="C29" s="4" t="s">
        <v>6</v>
      </c>
      <c r="D29" s="5">
        <v>65.239999999999995</v>
      </c>
      <c r="E29" s="4" t="s">
        <v>7</v>
      </c>
    </row>
    <row r="30" spans="1:5" x14ac:dyDescent="0.25">
      <c r="A30" s="3">
        <v>45326</v>
      </c>
      <c r="B30" s="4" t="s">
        <v>17</v>
      </c>
      <c r="C30" s="4" t="s">
        <v>11</v>
      </c>
      <c r="D30" s="5">
        <v>717.28</v>
      </c>
      <c r="E30" s="4" t="s">
        <v>12</v>
      </c>
    </row>
    <row r="31" spans="1:5" x14ac:dyDescent="0.25">
      <c r="A31" s="3">
        <v>45327</v>
      </c>
      <c r="B31" s="4" t="s">
        <v>14</v>
      </c>
      <c r="C31" s="4" t="s">
        <v>18</v>
      </c>
      <c r="D31" s="5">
        <v>318.18</v>
      </c>
      <c r="E31" s="4" t="s">
        <v>19</v>
      </c>
    </row>
    <row r="32" spans="1:5" x14ac:dyDescent="0.25">
      <c r="A32" s="3">
        <v>45330</v>
      </c>
      <c r="B32" s="4" t="s">
        <v>14</v>
      </c>
      <c r="C32" s="4" t="s">
        <v>11</v>
      </c>
      <c r="D32" s="5">
        <v>675.95</v>
      </c>
      <c r="E32" s="4" t="s">
        <v>12</v>
      </c>
    </row>
    <row r="33" spans="1:5" x14ac:dyDescent="0.25">
      <c r="A33" s="3">
        <v>45333</v>
      </c>
      <c r="B33" s="4" t="s">
        <v>14</v>
      </c>
      <c r="C33" s="4" t="s">
        <v>21</v>
      </c>
      <c r="D33" s="5">
        <v>467.4</v>
      </c>
      <c r="E33" s="4" t="s">
        <v>22</v>
      </c>
    </row>
    <row r="34" spans="1:5" x14ac:dyDescent="0.25">
      <c r="A34" s="3">
        <v>45340</v>
      </c>
      <c r="B34" s="4" t="s">
        <v>17</v>
      </c>
      <c r="C34" s="4" t="s">
        <v>15</v>
      </c>
      <c r="D34" s="5">
        <v>2953.06</v>
      </c>
      <c r="E34" s="4" t="s">
        <v>16</v>
      </c>
    </row>
    <row r="35" spans="1:5" x14ac:dyDescent="0.25">
      <c r="A35" s="3">
        <v>45343</v>
      </c>
      <c r="B35" s="4" t="s">
        <v>13</v>
      </c>
      <c r="C35" s="4" t="s">
        <v>6</v>
      </c>
      <c r="D35" s="5">
        <v>131.72</v>
      </c>
      <c r="E35" s="4" t="s">
        <v>7</v>
      </c>
    </row>
    <row r="36" spans="1:5" x14ac:dyDescent="0.25">
      <c r="A36" s="3">
        <v>45345</v>
      </c>
      <c r="B36" s="4" t="s">
        <v>13</v>
      </c>
      <c r="C36" s="4" t="s">
        <v>6</v>
      </c>
      <c r="D36" s="5">
        <v>77.010000000000005</v>
      </c>
      <c r="E36" s="4" t="s">
        <v>7</v>
      </c>
    </row>
    <row r="37" spans="1:5" x14ac:dyDescent="0.25">
      <c r="A37" s="3">
        <v>45346</v>
      </c>
      <c r="B37" s="4" t="s">
        <v>5</v>
      </c>
      <c r="C37" s="4" t="s">
        <v>11</v>
      </c>
      <c r="D37" s="5">
        <v>173.48</v>
      </c>
      <c r="E37" s="4" t="s">
        <v>12</v>
      </c>
    </row>
    <row r="38" spans="1:5" x14ac:dyDescent="0.25">
      <c r="A38" s="3">
        <v>45349</v>
      </c>
      <c r="B38" s="4" t="s">
        <v>20</v>
      </c>
      <c r="C38" s="4" t="s">
        <v>9</v>
      </c>
      <c r="D38" s="5">
        <v>192.25</v>
      </c>
      <c r="E38" s="4" t="s">
        <v>10</v>
      </c>
    </row>
    <row r="39" spans="1:5" x14ac:dyDescent="0.25">
      <c r="A39" s="3">
        <v>45350</v>
      </c>
      <c r="B39" s="4" t="s">
        <v>8</v>
      </c>
      <c r="C39" s="4" t="s">
        <v>11</v>
      </c>
      <c r="D39" s="5">
        <v>694.73</v>
      </c>
      <c r="E39" s="4" t="s">
        <v>12</v>
      </c>
    </row>
    <row r="40" spans="1:5" x14ac:dyDescent="0.25">
      <c r="A40" s="3">
        <v>45352</v>
      </c>
      <c r="B40" s="4" t="s">
        <v>20</v>
      </c>
      <c r="C40" s="4" t="s">
        <v>18</v>
      </c>
      <c r="D40" s="5">
        <v>831.33</v>
      </c>
      <c r="E40" s="4" t="s">
        <v>19</v>
      </c>
    </row>
    <row r="41" spans="1:5" x14ac:dyDescent="0.25">
      <c r="A41" s="3">
        <v>45354</v>
      </c>
      <c r="B41" s="4" t="s">
        <v>20</v>
      </c>
      <c r="C41" s="4" t="s">
        <v>18</v>
      </c>
      <c r="D41" s="5">
        <v>693.29</v>
      </c>
      <c r="E41" s="4" t="s">
        <v>19</v>
      </c>
    </row>
    <row r="42" spans="1:5" x14ac:dyDescent="0.25">
      <c r="A42" s="3">
        <v>45355</v>
      </c>
      <c r="B42" s="4" t="s">
        <v>20</v>
      </c>
      <c r="C42" s="4" t="s">
        <v>11</v>
      </c>
      <c r="D42" s="5">
        <v>303.56</v>
      </c>
      <c r="E42" s="4" t="s">
        <v>12</v>
      </c>
    </row>
    <row r="43" spans="1:5" x14ac:dyDescent="0.25">
      <c r="A43" s="3">
        <v>45359</v>
      </c>
      <c r="B43" s="4" t="s">
        <v>20</v>
      </c>
      <c r="C43" s="4" t="s">
        <v>15</v>
      </c>
      <c r="D43" s="5">
        <v>2617.48</v>
      </c>
      <c r="E43" s="4" t="s">
        <v>16</v>
      </c>
    </row>
    <row r="44" spans="1:5" x14ac:dyDescent="0.25">
      <c r="A44" s="3">
        <v>45359</v>
      </c>
      <c r="B44" s="4" t="s">
        <v>14</v>
      </c>
      <c r="C44" s="4" t="s">
        <v>18</v>
      </c>
      <c r="D44" s="5">
        <v>526.46</v>
      </c>
      <c r="E44" s="4" t="s">
        <v>19</v>
      </c>
    </row>
    <row r="45" spans="1:5" x14ac:dyDescent="0.25">
      <c r="A45" s="3">
        <v>45359</v>
      </c>
      <c r="B45" s="4" t="s">
        <v>14</v>
      </c>
      <c r="C45" s="4" t="s">
        <v>15</v>
      </c>
      <c r="D45" s="5">
        <v>2261.52</v>
      </c>
      <c r="E45" s="4" t="s">
        <v>16</v>
      </c>
    </row>
    <row r="46" spans="1:5" x14ac:dyDescent="0.25">
      <c r="A46" s="3">
        <v>45362</v>
      </c>
      <c r="B46" s="4" t="s">
        <v>8</v>
      </c>
      <c r="C46" s="4" t="s">
        <v>11</v>
      </c>
      <c r="D46" s="5">
        <v>300.17</v>
      </c>
      <c r="E46" s="4" t="s">
        <v>12</v>
      </c>
    </row>
    <row r="47" spans="1:5" x14ac:dyDescent="0.25">
      <c r="A47" s="3">
        <v>45363</v>
      </c>
      <c r="B47" s="4" t="s">
        <v>8</v>
      </c>
      <c r="C47" s="4" t="s">
        <v>15</v>
      </c>
      <c r="D47" s="5">
        <v>2547.21</v>
      </c>
      <c r="E47" s="4" t="s">
        <v>16</v>
      </c>
    </row>
    <row r="48" spans="1:5" x14ac:dyDescent="0.25">
      <c r="A48" s="3">
        <v>45367</v>
      </c>
      <c r="B48" s="4" t="s">
        <v>5</v>
      </c>
      <c r="C48" s="4" t="s">
        <v>15</v>
      </c>
      <c r="D48" s="5">
        <v>2180.59</v>
      </c>
      <c r="E48" s="4" t="s">
        <v>16</v>
      </c>
    </row>
    <row r="49" spans="1:5" x14ac:dyDescent="0.25">
      <c r="A49" s="3">
        <v>45368</v>
      </c>
      <c r="B49" s="4" t="s">
        <v>5</v>
      </c>
      <c r="C49" s="4" t="s">
        <v>6</v>
      </c>
      <c r="D49" s="5">
        <v>280.13</v>
      </c>
      <c r="E49" s="4" t="s">
        <v>7</v>
      </c>
    </row>
    <row r="50" spans="1:5" x14ac:dyDescent="0.25">
      <c r="A50" s="3">
        <v>45368</v>
      </c>
      <c r="B50" s="4" t="s">
        <v>13</v>
      </c>
      <c r="C50" s="4" t="s">
        <v>11</v>
      </c>
      <c r="D50" s="5">
        <v>754.2</v>
      </c>
      <c r="E50" s="4" t="s">
        <v>12</v>
      </c>
    </row>
    <row r="51" spans="1:5" x14ac:dyDescent="0.25">
      <c r="A51" s="3">
        <v>45372</v>
      </c>
      <c r="B51" s="4" t="s">
        <v>8</v>
      </c>
      <c r="C51" s="4" t="s">
        <v>11</v>
      </c>
      <c r="D51" s="5">
        <v>488.13</v>
      </c>
      <c r="E51" s="4" t="s">
        <v>12</v>
      </c>
    </row>
    <row r="52" spans="1:5" x14ac:dyDescent="0.25">
      <c r="A52" s="3">
        <v>45372</v>
      </c>
      <c r="B52" s="4" t="s">
        <v>20</v>
      </c>
      <c r="C52" s="4" t="s">
        <v>6</v>
      </c>
      <c r="D52" s="5">
        <v>130.82</v>
      </c>
      <c r="E52" s="4" t="s">
        <v>7</v>
      </c>
    </row>
    <row r="53" spans="1:5" x14ac:dyDescent="0.25">
      <c r="A53" s="3">
        <v>45374</v>
      </c>
      <c r="B53" s="4" t="s">
        <v>5</v>
      </c>
      <c r="C53" s="4" t="s">
        <v>11</v>
      </c>
      <c r="D53" s="5">
        <v>133.9</v>
      </c>
      <c r="E53" s="4" t="s">
        <v>12</v>
      </c>
    </row>
    <row r="54" spans="1:5" x14ac:dyDescent="0.25">
      <c r="A54" s="3">
        <v>45378</v>
      </c>
      <c r="B54" s="4" t="s">
        <v>8</v>
      </c>
      <c r="C54" s="4" t="s">
        <v>11</v>
      </c>
      <c r="D54" s="5">
        <v>334.95</v>
      </c>
      <c r="E54" s="4" t="s">
        <v>12</v>
      </c>
    </row>
    <row r="55" spans="1:5" x14ac:dyDescent="0.25">
      <c r="A55" s="3">
        <v>45379</v>
      </c>
      <c r="B55" s="4" t="s">
        <v>17</v>
      </c>
      <c r="C55" s="4" t="s">
        <v>15</v>
      </c>
      <c r="D55" s="5">
        <v>1822.97</v>
      </c>
      <c r="E55" s="4" t="s">
        <v>16</v>
      </c>
    </row>
    <row r="56" spans="1:5" x14ac:dyDescent="0.25">
      <c r="A56" s="3">
        <v>45382</v>
      </c>
      <c r="B56" s="4" t="s">
        <v>20</v>
      </c>
      <c r="C56" s="4" t="s">
        <v>9</v>
      </c>
      <c r="D56" s="5">
        <v>340.28</v>
      </c>
      <c r="E56" s="4" t="s">
        <v>10</v>
      </c>
    </row>
    <row r="57" spans="1:5" x14ac:dyDescent="0.25">
      <c r="A57" s="3">
        <v>45383</v>
      </c>
      <c r="B57" s="4" t="s">
        <v>17</v>
      </c>
      <c r="C57" s="4" t="s">
        <v>21</v>
      </c>
      <c r="D57" s="5">
        <v>205.81</v>
      </c>
      <c r="E57" s="4" t="s">
        <v>22</v>
      </c>
    </row>
    <row r="58" spans="1:5" x14ac:dyDescent="0.25">
      <c r="A58" s="3">
        <v>45384</v>
      </c>
      <c r="B58" s="4" t="s">
        <v>17</v>
      </c>
      <c r="C58" s="4" t="s">
        <v>15</v>
      </c>
      <c r="D58" s="5">
        <v>1586.89</v>
      </c>
      <c r="E58" s="4" t="s">
        <v>16</v>
      </c>
    </row>
    <row r="59" spans="1:5" x14ac:dyDescent="0.25">
      <c r="A59" s="3">
        <v>45384</v>
      </c>
      <c r="B59" s="4" t="s">
        <v>14</v>
      </c>
      <c r="C59" s="4" t="s">
        <v>15</v>
      </c>
      <c r="D59" s="5">
        <v>2556.86</v>
      </c>
      <c r="E59" s="4" t="s">
        <v>16</v>
      </c>
    </row>
    <row r="60" spans="1:5" x14ac:dyDescent="0.25">
      <c r="A60" s="3">
        <v>45387</v>
      </c>
      <c r="B60" s="4" t="s">
        <v>5</v>
      </c>
      <c r="C60" s="4" t="s">
        <v>21</v>
      </c>
      <c r="D60" s="5">
        <v>280.58999999999997</v>
      </c>
      <c r="E60" s="4" t="s">
        <v>22</v>
      </c>
    </row>
    <row r="61" spans="1:5" x14ac:dyDescent="0.25">
      <c r="A61" s="3">
        <v>45388</v>
      </c>
      <c r="B61" s="4" t="s">
        <v>8</v>
      </c>
      <c r="C61" s="4" t="s">
        <v>21</v>
      </c>
      <c r="D61" s="5">
        <v>217.27</v>
      </c>
      <c r="E61" s="4" t="s">
        <v>22</v>
      </c>
    </row>
    <row r="62" spans="1:5" x14ac:dyDescent="0.25">
      <c r="A62" s="3">
        <v>45394</v>
      </c>
      <c r="B62" s="4" t="s">
        <v>17</v>
      </c>
      <c r="C62" s="4" t="s">
        <v>11</v>
      </c>
      <c r="D62" s="5">
        <v>208.24</v>
      </c>
      <c r="E62" s="4" t="s">
        <v>12</v>
      </c>
    </row>
    <row r="63" spans="1:5" x14ac:dyDescent="0.25">
      <c r="A63" s="3">
        <v>45396</v>
      </c>
      <c r="B63" s="4" t="s">
        <v>14</v>
      </c>
      <c r="C63" s="4" t="s">
        <v>9</v>
      </c>
      <c r="D63" s="5">
        <v>239.1</v>
      </c>
      <c r="E63" s="4" t="s">
        <v>10</v>
      </c>
    </row>
    <row r="64" spans="1:5" x14ac:dyDescent="0.25">
      <c r="A64" s="3">
        <v>45400</v>
      </c>
      <c r="B64" s="4" t="s">
        <v>14</v>
      </c>
      <c r="C64" s="4" t="s">
        <v>11</v>
      </c>
      <c r="D64" s="5">
        <v>338.58</v>
      </c>
      <c r="E64" s="4" t="s">
        <v>12</v>
      </c>
    </row>
    <row r="65" spans="1:5" x14ac:dyDescent="0.25">
      <c r="A65" s="3">
        <v>45400</v>
      </c>
      <c r="B65" s="4" t="s">
        <v>20</v>
      </c>
      <c r="C65" s="4" t="s">
        <v>21</v>
      </c>
      <c r="D65" s="5">
        <v>402.11</v>
      </c>
      <c r="E65" s="4" t="s">
        <v>22</v>
      </c>
    </row>
    <row r="66" spans="1:5" x14ac:dyDescent="0.25">
      <c r="A66" s="3">
        <v>45402</v>
      </c>
      <c r="B66" s="4" t="s">
        <v>17</v>
      </c>
      <c r="C66" s="4" t="s">
        <v>18</v>
      </c>
      <c r="D66" s="5">
        <v>734.43</v>
      </c>
      <c r="E66" s="4" t="s">
        <v>19</v>
      </c>
    </row>
    <row r="67" spans="1:5" x14ac:dyDescent="0.25">
      <c r="A67" s="3">
        <v>45404</v>
      </c>
      <c r="B67" s="4" t="s">
        <v>14</v>
      </c>
      <c r="C67" s="4" t="s">
        <v>9</v>
      </c>
      <c r="D67" s="5">
        <v>372.27</v>
      </c>
      <c r="E67" s="4" t="s">
        <v>10</v>
      </c>
    </row>
    <row r="68" spans="1:5" x14ac:dyDescent="0.25">
      <c r="A68" s="3">
        <v>45405</v>
      </c>
      <c r="B68" s="4" t="s">
        <v>14</v>
      </c>
      <c r="C68" s="4" t="s">
        <v>9</v>
      </c>
      <c r="D68" s="5">
        <v>484.92</v>
      </c>
      <c r="E68" s="4" t="s">
        <v>10</v>
      </c>
    </row>
    <row r="69" spans="1:5" x14ac:dyDescent="0.25">
      <c r="A69" s="3">
        <v>45406</v>
      </c>
      <c r="B69" s="4" t="s">
        <v>20</v>
      </c>
      <c r="C69" s="4" t="s">
        <v>18</v>
      </c>
      <c r="D69" s="5">
        <v>438.53</v>
      </c>
      <c r="E69" s="4" t="s">
        <v>19</v>
      </c>
    </row>
    <row r="70" spans="1:5" x14ac:dyDescent="0.25">
      <c r="A70" s="3">
        <v>45408</v>
      </c>
      <c r="B70" s="4" t="s">
        <v>17</v>
      </c>
      <c r="C70" s="4" t="s">
        <v>18</v>
      </c>
      <c r="D70" s="5">
        <v>1105.57</v>
      </c>
      <c r="E70" s="4" t="s">
        <v>19</v>
      </c>
    </row>
    <row r="71" spans="1:5" x14ac:dyDescent="0.25">
      <c r="A71" s="3">
        <v>45408</v>
      </c>
      <c r="B71" s="4" t="s">
        <v>13</v>
      </c>
      <c r="C71" s="4" t="s">
        <v>6</v>
      </c>
      <c r="D71" s="5">
        <v>65.540000000000006</v>
      </c>
      <c r="E71" s="4" t="s">
        <v>7</v>
      </c>
    </row>
    <row r="72" spans="1:5" x14ac:dyDescent="0.25">
      <c r="A72" s="3">
        <v>45410</v>
      </c>
      <c r="B72" s="4" t="s">
        <v>20</v>
      </c>
      <c r="C72" s="4" t="s">
        <v>11</v>
      </c>
      <c r="D72" s="5">
        <v>382.35</v>
      </c>
      <c r="E72" s="4" t="s">
        <v>12</v>
      </c>
    </row>
    <row r="73" spans="1:5" x14ac:dyDescent="0.25">
      <c r="A73" s="3">
        <v>45411</v>
      </c>
      <c r="B73" s="4" t="s">
        <v>14</v>
      </c>
      <c r="C73" s="4" t="s">
        <v>6</v>
      </c>
      <c r="D73" s="5">
        <v>291.89999999999998</v>
      </c>
      <c r="E73" s="4" t="s">
        <v>7</v>
      </c>
    </row>
    <row r="74" spans="1:5" x14ac:dyDescent="0.25">
      <c r="A74" s="3">
        <v>45413</v>
      </c>
      <c r="B74" s="4" t="s">
        <v>5</v>
      </c>
      <c r="C74" s="4" t="s">
        <v>15</v>
      </c>
      <c r="D74" s="5">
        <v>1641.49</v>
      </c>
      <c r="E74" s="4" t="s">
        <v>16</v>
      </c>
    </row>
    <row r="75" spans="1:5" x14ac:dyDescent="0.25">
      <c r="A75" s="3">
        <v>45413</v>
      </c>
      <c r="B75" s="4" t="s">
        <v>14</v>
      </c>
      <c r="C75" s="4" t="s">
        <v>15</v>
      </c>
      <c r="D75" s="5">
        <v>1897.58</v>
      </c>
      <c r="E75" s="4" t="s">
        <v>16</v>
      </c>
    </row>
    <row r="76" spans="1:5" x14ac:dyDescent="0.25">
      <c r="A76" s="3">
        <v>45416</v>
      </c>
      <c r="B76" s="4" t="s">
        <v>20</v>
      </c>
      <c r="C76" s="4" t="s">
        <v>21</v>
      </c>
      <c r="D76" s="5">
        <v>152.91999999999999</v>
      </c>
      <c r="E76" s="4" t="s">
        <v>22</v>
      </c>
    </row>
    <row r="77" spans="1:5" x14ac:dyDescent="0.25">
      <c r="A77" s="3">
        <v>45419</v>
      </c>
      <c r="B77" s="4" t="s">
        <v>5</v>
      </c>
      <c r="C77" s="4" t="s">
        <v>9</v>
      </c>
      <c r="D77" s="5">
        <v>512.97</v>
      </c>
      <c r="E77" s="4" t="s">
        <v>10</v>
      </c>
    </row>
    <row r="78" spans="1:5" x14ac:dyDescent="0.25">
      <c r="A78" s="3">
        <v>45420</v>
      </c>
      <c r="B78" s="4" t="s">
        <v>14</v>
      </c>
      <c r="C78" s="4" t="s">
        <v>15</v>
      </c>
      <c r="D78" s="5">
        <v>1585.32</v>
      </c>
      <c r="E78" s="4" t="s">
        <v>16</v>
      </c>
    </row>
    <row r="79" spans="1:5" x14ac:dyDescent="0.25">
      <c r="A79" s="3">
        <v>45421</v>
      </c>
      <c r="B79" s="4" t="s">
        <v>17</v>
      </c>
      <c r="C79" s="4" t="s">
        <v>15</v>
      </c>
      <c r="D79" s="5">
        <v>2899.89</v>
      </c>
      <c r="E79" s="4" t="s">
        <v>16</v>
      </c>
    </row>
    <row r="80" spans="1:5" x14ac:dyDescent="0.25">
      <c r="A80" s="3">
        <v>45421</v>
      </c>
      <c r="B80" s="4" t="s">
        <v>14</v>
      </c>
      <c r="C80" s="4" t="s">
        <v>15</v>
      </c>
      <c r="D80" s="5">
        <v>1729.26</v>
      </c>
      <c r="E80" s="4" t="s">
        <v>16</v>
      </c>
    </row>
    <row r="81" spans="1:5" x14ac:dyDescent="0.25">
      <c r="A81" s="3">
        <v>45422</v>
      </c>
      <c r="B81" s="4" t="s">
        <v>8</v>
      </c>
      <c r="C81" s="4" t="s">
        <v>15</v>
      </c>
      <c r="D81" s="5">
        <v>1602.78</v>
      </c>
      <c r="E81" s="4" t="s">
        <v>16</v>
      </c>
    </row>
    <row r="82" spans="1:5" x14ac:dyDescent="0.25">
      <c r="A82" s="3">
        <v>45425</v>
      </c>
      <c r="B82" s="4" t="s">
        <v>17</v>
      </c>
      <c r="C82" s="4" t="s">
        <v>6</v>
      </c>
      <c r="D82" s="5">
        <v>77.19</v>
      </c>
      <c r="E82" s="4" t="s">
        <v>7</v>
      </c>
    </row>
    <row r="83" spans="1:5" x14ac:dyDescent="0.25">
      <c r="A83" s="3">
        <v>45427</v>
      </c>
      <c r="B83" s="4" t="s">
        <v>8</v>
      </c>
      <c r="C83" s="4" t="s">
        <v>9</v>
      </c>
      <c r="D83" s="5">
        <v>835.39</v>
      </c>
      <c r="E83" s="4" t="s">
        <v>10</v>
      </c>
    </row>
    <row r="84" spans="1:5" x14ac:dyDescent="0.25">
      <c r="A84" s="3">
        <v>45429</v>
      </c>
      <c r="B84" s="4" t="s">
        <v>17</v>
      </c>
      <c r="C84" s="4" t="s">
        <v>9</v>
      </c>
      <c r="D84" s="5">
        <v>406.16</v>
      </c>
      <c r="E84" s="4" t="s">
        <v>10</v>
      </c>
    </row>
    <row r="85" spans="1:5" x14ac:dyDescent="0.25">
      <c r="A85" s="3">
        <v>45429</v>
      </c>
      <c r="B85" s="4" t="s">
        <v>17</v>
      </c>
      <c r="C85" s="4" t="s">
        <v>9</v>
      </c>
      <c r="D85" s="5">
        <v>626.13</v>
      </c>
      <c r="E85" s="4" t="s">
        <v>10</v>
      </c>
    </row>
    <row r="86" spans="1:5" x14ac:dyDescent="0.25">
      <c r="A86" s="3">
        <v>45430</v>
      </c>
      <c r="B86" s="4" t="s">
        <v>8</v>
      </c>
      <c r="C86" s="4" t="s">
        <v>11</v>
      </c>
      <c r="D86" s="5">
        <v>744.78</v>
      </c>
      <c r="E86" s="4" t="s">
        <v>12</v>
      </c>
    </row>
    <row r="87" spans="1:5" x14ac:dyDescent="0.25">
      <c r="A87" s="3">
        <v>45431</v>
      </c>
      <c r="B87" s="4" t="s">
        <v>5</v>
      </c>
      <c r="C87" s="4" t="s">
        <v>15</v>
      </c>
      <c r="D87" s="5">
        <v>2173.81</v>
      </c>
      <c r="E87" s="4" t="s">
        <v>16</v>
      </c>
    </row>
    <row r="88" spans="1:5" x14ac:dyDescent="0.25">
      <c r="A88" s="3">
        <v>45431</v>
      </c>
      <c r="B88" s="4" t="s">
        <v>8</v>
      </c>
      <c r="C88" s="4" t="s">
        <v>21</v>
      </c>
      <c r="D88" s="5">
        <v>268.77</v>
      </c>
      <c r="E88" s="4" t="s">
        <v>22</v>
      </c>
    </row>
    <row r="89" spans="1:5" x14ac:dyDescent="0.25">
      <c r="A89" s="3">
        <v>45432</v>
      </c>
      <c r="B89" s="4" t="s">
        <v>8</v>
      </c>
      <c r="C89" s="4" t="s">
        <v>11</v>
      </c>
      <c r="D89" s="5">
        <v>539.11</v>
      </c>
      <c r="E89" s="4" t="s">
        <v>12</v>
      </c>
    </row>
    <row r="90" spans="1:5" x14ac:dyDescent="0.25">
      <c r="A90" s="3">
        <v>45433</v>
      </c>
      <c r="B90" s="4" t="s">
        <v>20</v>
      </c>
      <c r="C90" s="4" t="s">
        <v>6</v>
      </c>
      <c r="D90" s="5">
        <v>98.89</v>
      </c>
      <c r="E90" s="4" t="s">
        <v>7</v>
      </c>
    </row>
    <row r="91" spans="1:5" x14ac:dyDescent="0.25">
      <c r="A91" s="3">
        <v>45434</v>
      </c>
      <c r="B91" s="4" t="s">
        <v>20</v>
      </c>
      <c r="C91" s="4" t="s">
        <v>9</v>
      </c>
      <c r="D91" s="5">
        <v>391.85</v>
      </c>
      <c r="E91" s="4" t="s">
        <v>10</v>
      </c>
    </row>
    <row r="92" spans="1:5" x14ac:dyDescent="0.25">
      <c r="A92" s="3">
        <v>45434</v>
      </c>
      <c r="B92" s="4" t="s">
        <v>13</v>
      </c>
      <c r="C92" s="4" t="s">
        <v>9</v>
      </c>
      <c r="D92" s="5">
        <v>538</v>
      </c>
      <c r="E92" s="4" t="s">
        <v>10</v>
      </c>
    </row>
    <row r="93" spans="1:5" x14ac:dyDescent="0.25">
      <c r="A93" s="3">
        <v>45436</v>
      </c>
      <c r="B93" s="4" t="s">
        <v>8</v>
      </c>
      <c r="C93" s="4" t="s">
        <v>11</v>
      </c>
      <c r="D93" s="5">
        <v>453.23</v>
      </c>
      <c r="E93" s="4" t="s">
        <v>12</v>
      </c>
    </row>
    <row r="94" spans="1:5" x14ac:dyDescent="0.25">
      <c r="A94" s="3">
        <v>45437</v>
      </c>
      <c r="B94" s="4" t="s">
        <v>20</v>
      </c>
      <c r="C94" s="4" t="s">
        <v>21</v>
      </c>
      <c r="D94" s="5">
        <v>337.81</v>
      </c>
      <c r="E94" s="4" t="s">
        <v>22</v>
      </c>
    </row>
    <row r="95" spans="1:5" x14ac:dyDescent="0.25">
      <c r="A95" s="3">
        <v>45437</v>
      </c>
      <c r="B95" s="4" t="s">
        <v>8</v>
      </c>
      <c r="C95" s="4" t="s">
        <v>11</v>
      </c>
      <c r="D95" s="5">
        <v>598.92999999999995</v>
      </c>
      <c r="E95" s="4" t="s">
        <v>12</v>
      </c>
    </row>
    <row r="96" spans="1:5" x14ac:dyDescent="0.25">
      <c r="A96" s="3">
        <v>45437</v>
      </c>
      <c r="B96" s="4" t="s">
        <v>13</v>
      </c>
      <c r="C96" s="4" t="s">
        <v>6</v>
      </c>
      <c r="D96" s="5">
        <v>79.540000000000006</v>
      </c>
      <c r="E96" s="4" t="s">
        <v>7</v>
      </c>
    </row>
    <row r="97" spans="1:5" x14ac:dyDescent="0.25">
      <c r="A97" s="3">
        <v>45438</v>
      </c>
      <c r="B97" s="4" t="s">
        <v>14</v>
      </c>
      <c r="C97" s="4" t="s">
        <v>18</v>
      </c>
      <c r="D97" s="5">
        <v>515.9</v>
      </c>
      <c r="E97" s="4" t="s">
        <v>19</v>
      </c>
    </row>
    <row r="98" spans="1:5" x14ac:dyDescent="0.25">
      <c r="A98" s="3">
        <v>45440</v>
      </c>
      <c r="B98" s="4" t="s">
        <v>13</v>
      </c>
      <c r="C98" s="4" t="s">
        <v>21</v>
      </c>
      <c r="D98" s="5">
        <v>124.38</v>
      </c>
      <c r="E98" s="4" t="s">
        <v>22</v>
      </c>
    </row>
    <row r="99" spans="1:5" x14ac:dyDescent="0.25">
      <c r="A99" s="3">
        <v>45441</v>
      </c>
      <c r="B99" s="4" t="s">
        <v>5</v>
      </c>
      <c r="C99" s="4" t="s">
        <v>6</v>
      </c>
      <c r="D99" s="5">
        <v>81.41</v>
      </c>
      <c r="E99" s="4" t="s">
        <v>7</v>
      </c>
    </row>
    <row r="100" spans="1:5" x14ac:dyDescent="0.25">
      <c r="A100" s="3">
        <v>45441</v>
      </c>
      <c r="B100" s="4" t="s">
        <v>14</v>
      </c>
      <c r="C100" s="4" t="s">
        <v>15</v>
      </c>
      <c r="D100" s="5">
        <v>2144.6799999999998</v>
      </c>
      <c r="E100" s="4" t="s">
        <v>16</v>
      </c>
    </row>
    <row r="101" spans="1:5" x14ac:dyDescent="0.25">
      <c r="A101" s="3">
        <v>45442</v>
      </c>
      <c r="B101" s="4" t="s">
        <v>14</v>
      </c>
      <c r="C101" s="4" t="s">
        <v>15</v>
      </c>
      <c r="D101" s="5">
        <v>2382.66</v>
      </c>
      <c r="E101" s="4" t="s">
        <v>16</v>
      </c>
    </row>
  </sheetData>
  <sheetProtection algorithmName="SHA-512" hashValue="5o+B4eYdzPeNc9wOuz7mK9ypwV8GN2upyIgIUWyFsVel8eiAQCyjLhaJF0D77p5on3L9SWJtkKKE9Rkl2UjEqg==" saltValue="tSWrBuNr0nxbtK2eh7Gfv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5438-09E1-4BCB-AC40-5F79A309D5A7}">
  <dimension ref="A1:K27"/>
  <sheetViews>
    <sheetView workbookViewId="0">
      <selection activeCell="K20" sqref="K20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10.140625" bestFit="1" customWidth="1"/>
    <col min="4" max="7" width="9.140625" bestFit="1" customWidth="1"/>
    <col min="8" max="8" width="11.28515625" bestFit="1" customWidth="1"/>
    <col min="10" max="10" width="13.42578125" bestFit="1" customWidth="1"/>
    <col min="11" max="11" width="14.85546875" bestFit="1" customWidth="1"/>
  </cols>
  <sheetData>
    <row r="1" spans="1:11" ht="18.75" x14ac:dyDescent="0.3">
      <c r="A1" s="25" t="s">
        <v>28</v>
      </c>
      <c r="B1" s="25"/>
      <c r="C1" s="25"/>
      <c r="D1" s="25"/>
      <c r="E1" s="25"/>
      <c r="F1" s="25"/>
      <c r="G1" s="25"/>
      <c r="H1" s="25"/>
    </row>
    <row r="3" spans="1:11" x14ac:dyDescent="0.25">
      <c r="A3" s="8" t="s">
        <v>23</v>
      </c>
      <c r="B3" t="s">
        <v>31</v>
      </c>
      <c r="D3" s="8" t="s">
        <v>25</v>
      </c>
      <c r="E3" t="str">
        <f>D6</f>
        <v>Rent</v>
      </c>
      <c r="G3" s="8" t="s">
        <v>26</v>
      </c>
      <c r="H3" s="6" t="s">
        <v>33</v>
      </c>
      <c r="J3" s="8" t="s">
        <v>36</v>
      </c>
    </row>
    <row r="4" spans="1:11" x14ac:dyDescent="0.25">
      <c r="B4" s="6">
        <v>87637.379999999976</v>
      </c>
      <c r="D4" s="8" t="s">
        <v>3</v>
      </c>
      <c r="E4" s="6">
        <f>E6</f>
        <v>56132.22</v>
      </c>
      <c r="H4" s="6">
        <v>876.37379999999973</v>
      </c>
      <c r="J4" s="7" t="s">
        <v>29</v>
      </c>
      <c r="K4" t="s">
        <v>31</v>
      </c>
    </row>
    <row r="5" spans="1:11" x14ac:dyDescent="0.25">
      <c r="D5" s="7" t="s">
        <v>29</v>
      </c>
      <c r="E5" t="s">
        <v>31</v>
      </c>
      <c r="J5" s="11" t="s">
        <v>37</v>
      </c>
      <c r="K5" s="12">
        <v>29272.3</v>
      </c>
    </row>
    <row r="6" spans="1:11" x14ac:dyDescent="0.25">
      <c r="A6" s="8" t="s">
        <v>24</v>
      </c>
      <c r="B6" t="str">
        <f>A9</f>
        <v>Sales</v>
      </c>
      <c r="D6" s="9" t="s">
        <v>15</v>
      </c>
      <c r="E6" s="1">
        <v>56132.22</v>
      </c>
      <c r="G6" s="8" t="s">
        <v>34</v>
      </c>
      <c r="H6" t="s">
        <v>35</v>
      </c>
      <c r="J6" s="11" t="s">
        <v>38</v>
      </c>
      <c r="K6" s="12">
        <v>6466.3000000000011</v>
      </c>
    </row>
    <row r="7" spans="1:11" x14ac:dyDescent="0.25">
      <c r="A7" s="8" t="s">
        <v>32</v>
      </c>
      <c r="B7" s="6">
        <f>B9</f>
        <v>25226.9</v>
      </c>
      <c r="D7" s="9" t="s">
        <v>11</v>
      </c>
      <c r="E7" s="1">
        <v>9589.23</v>
      </c>
      <c r="H7" s="1">
        <v>100</v>
      </c>
      <c r="J7" s="11" t="s">
        <v>39</v>
      </c>
      <c r="K7" s="12">
        <v>16546.989999999998</v>
      </c>
    </row>
    <row r="8" spans="1:11" x14ac:dyDescent="0.25">
      <c r="A8" s="7" t="s">
        <v>1</v>
      </c>
      <c r="B8" t="s">
        <v>31</v>
      </c>
      <c r="D8" s="9" t="s">
        <v>9</v>
      </c>
      <c r="E8" s="1">
        <v>8504.2400000000016</v>
      </c>
      <c r="J8" s="11" t="s">
        <v>40</v>
      </c>
      <c r="K8" s="12">
        <v>9910.9600000000028</v>
      </c>
    </row>
    <row r="9" spans="1:11" x14ac:dyDescent="0.25">
      <c r="A9" t="s">
        <v>14</v>
      </c>
      <c r="B9" s="6">
        <v>25226.9</v>
      </c>
      <c r="D9" s="9" t="s">
        <v>18</v>
      </c>
      <c r="E9" s="1">
        <v>8214.98</v>
      </c>
      <c r="G9" s="8" t="s">
        <v>27</v>
      </c>
      <c r="H9">
        <f>COUNTA(G10:G16)</f>
        <v>7</v>
      </c>
      <c r="J9" s="11" t="s">
        <v>41</v>
      </c>
      <c r="K9" s="12">
        <v>25440.830000000005</v>
      </c>
    </row>
    <row r="10" spans="1:11" x14ac:dyDescent="0.25">
      <c r="A10" t="s">
        <v>8</v>
      </c>
      <c r="B10" s="6">
        <v>18325.330000000002</v>
      </c>
      <c r="D10" s="9" t="s">
        <v>21</v>
      </c>
      <c r="E10" s="1">
        <v>2910.71</v>
      </c>
      <c r="G10" s="10" t="s">
        <v>5</v>
      </c>
      <c r="J10" s="9" t="s">
        <v>30</v>
      </c>
      <c r="K10" s="1">
        <v>87637.38</v>
      </c>
    </row>
    <row r="11" spans="1:11" x14ac:dyDescent="0.25">
      <c r="A11" t="s">
        <v>17</v>
      </c>
      <c r="B11" s="6">
        <v>16592.079999999998</v>
      </c>
      <c r="D11" s="9" t="s">
        <v>6</v>
      </c>
      <c r="E11" s="1">
        <v>2285.9999999999995</v>
      </c>
      <c r="G11" s="10" t="s">
        <v>8</v>
      </c>
    </row>
    <row r="12" spans="1:11" x14ac:dyDescent="0.25">
      <c r="A12" t="s">
        <v>20</v>
      </c>
      <c r="B12" s="6">
        <v>10187.449999999999</v>
      </c>
      <c r="D12" s="9" t="s">
        <v>30</v>
      </c>
      <c r="E12" s="1">
        <v>87637.38</v>
      </c>
      <c r="G12" s="10" t="s">
        <v>13</v>
      </c>
    </row>
    <row r="13" spans="1:11" x14ac:dyDescent="0.25">
      <c r="A13" t="s">
        <v>13</v>
      </c>
      <c r="B13" s="6">
        <v>8942.51</v>
      </c>
      <c r="G13" s="10" t="s">
        <v>14</v>
      </c>
    </row>
    <row r="14" spans="1:11" x14ac:dyDescent="0.25">
      <c r="A14" t="s">
        <v>5</v>
      </c>
      <c r="B14" s="6">
        <v>8363.11</v>
      </c>
      <c r="G14" s="10" t="s">
        <v>17</v>
      </c>
    </row>
    <row r="15" spans="1:11" x14ac:dyDescent="0.25">
      <c r="A15" t="s">
        <v>30</v>
      </c>
      <c r="B15" s="1">
        <v>87637.38</v>
      </c>
      <c r="G15" s="10" t="s">
        <v>20</v>
      </c>
    </row>
    <row r="16" spans="1:11" x14ac:dyDescent="0.25">
      <c r="G16" s="10" t="s">
        <v>5</v>
      </c>
    </row>
    <row r="18" spans="1:8" x14ac:dyDescent="0.25">
      <c r="A18" s="8" t="s">
        <v>42</v>
      </c>
    </row>
    <row r="19" spans="1:8" x14ac:dyDescent="0.25">
      <c r="A19" s="7" t="s">
        <v>31</v>
      </c>
      <c r="B19" s="7" t="s">
        <v>43</v>
      </c>
    </row>
    <row r="20" spans="1:8" x14ac:dyDescent="0.25">
      <c r="A20" s="7" t="s">
        <v>29</v>
      </c>
      <c r="B20" t="s">
        <v>9</v>
      </c>
      <c r="C20" t="s">
        <v>15</v>
      </c>
      <c r="D20" t="s">
        <v>11</v>
      </c>
      <c r="E20" t="s">
        <v>6</v>
      </c>
      <c r="F20" t="s">
        <v>18</v>
      </c>
      <c r="G20" t="s">
        <v>21</v>
      </c>
      <c r="H20" t="s">
        <v>30</v>
      </c>
    </row>
    <row r="21" spans="1:8" x14ac:dyDescent="0.25">
      <c r="A21" s="9" t="s">
        <v>13</v>
      </c>
      <c r="B21" s="6">
        <v>1726.85</v>
      </c>
      <c r="C21" s="6">
        <v>4765.26</v>
      </c>
      <c r="D21" s="6">
        <v>754.2</v>
      </c>
      <c r="E21" s="6">
        <v>674.71999999999991</v>
      </c>
      <c r="F21" s="6">
        <v>897.1</v>
      </c>
      <c r="G21" s="6">
        <v>124.38</v>
      </c>
      <c r="H21" s="6">
        <v>8942.51</v>
      </c>
    </row>
    <row r="22" spans="1:8" x14ac:dyDescent="0.25">
      <c r="A22" s="9" t="s">
        <v>17</v>
      </c>
      <c r="B22" s="6">
        <v>1032.29</v>
      </c>
      <c r="C22" s="6">
        <v>11785.91</v>
      </c>
      <c r="D22" s="6">
        <v>925.52</v>
      </c>
      <c r="E22" s="6">
        <v>348.9</v>
      </c>
      <c r="F22" s="6">
        <v>1840</v>
      </c>
      <c r="G22" s="6">
        <v>659.46</v>
      </c>
      <c r="H22" s="6">
        <v>16592.080000000002</v>
      </c>
    </row>
    <row r="23" spans="1:8" x14ac:dyDescent="0.25">
      <c r="A23" s="9" t="s">
        <v>8</v>
      </c>
      <c r="B23" s="6">
        <v>2332.13</v>
      </c>
      <c r="C23" s="6">
        <v>8440.15</v>
      </c>
      <c r="D23" s="6">
        <v>4912.8200000000006</v>
      </c>
      <c r="E23" s="6"/>
      <c r="F23" s="6">
        <v>2154.19</v>
      </c>
      <c r="G23" s="6">
        <v>486.03999999999996</v>
      </c>
      <c r="H23" s="6">
        <v>18325.329999999998</v>
      </c>
    </row>
    <row r="24" spans="1:8" x14ac:dyDescent="0.25">
      <c r="A24" s="9" t="s">
        <v>20</v>
      </c>
      <c r="B24" s="6">
        <v>924.38</v>
      </c>
      <c r="C24" s="6">
        <v>4402.79</v>
      </c>
      <c r="D24" s="6">
        <v>1674.7799999999997</v>
      </c>
      <c r="E24" s="6">
        <v>329.51</v>
      </c>
      <c r="F24" s="6">
        <v>1963.1499999999999</v>
      </c>
      <c r="G24" s="6">
        <v>892.83999999999992</v>
      </c>
      <c r="H24" s="6">
        <v>10187.450000000001</v>
      </c>
    </row>
    <row r="25" spans="1:8" x14ac:dyDescent="0.25">
      <c r="A25" s="9" t="s">
        <v>5</v>
      </c>
      <c r="B25" s="6">
        <v>1138.28</v>
      </c>
      <c r="C25" s="6">
        <v>5995.8899999999994</v>
      </c>
      <c r="D25" s="6">
        <v>307.38</v>
      </c>
      <c r="E25" s="6">
        <v>640.96999999999991</v>
      </c>
      <c r="F25" s="6"/>
      <c r="G25" s="6">
        <v>280.58999999999997</v>
      </c>
      <c r="H25" s="6">
        <v>8363.1099999999988</v>
      </c>
    </row>
    <row r="26" spans="1:8" x14ac:dyDescent="0.25">
      <c r="A26" s="9" t="s">
        <v>14</v>
      </c>
      <c r="B26" s="6">
        <v>1350.31</v>
      </c>
      <c r="C26" s="6">
        <v>20742.22</v>
      </c>
      <c r="D26" s="6">
        <v>1014.53</v>
      </c>
      <c r="E26" s="6">
        <v>291.89999999999998</v>
      </c>
      <c r="F26" s="6">
        <v>1360.54</v>
      </c>
      <c r="G26" s="6">
        <v>467.4</v>
      </c>
      <c r="H26" s="6">
        <v>25226.900000000005</v>
      </c>
    </row>
    <row r="27" spans="1:8" x14ac:dyDescent="0.25">
      <c r="A27" s="9" t="s">
        <v>30</v>
      </c>
      <c r="B27" s="6">
        <v>8504.24</v>
      </c>
      <c r="C27" s="6">
        <v>56132.22</v>
      </c>
      <c r="D27" s="6">
        <v>9589.23</v>
      </c>
      <c r="E27" s="6">
        <v>2286</v>
      </c>
      <c r="F27" s="6">
        <v>8214.98</v>
      </c>
      <c r="G27" s="6">
        <v>2910.7100000000005</v>
      </c>
      <c r="H27" s="6">
        <v>87637.38</v>
      </c>
    </row>
  </sheetData>
  <mergeCells count="1">
    <mergeCell ref="A1:H1"/>
  </mergeCell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E495-AEBC-45C8-B6DA-BA45AC75A3C8}">
  <dimension ref="A1:W49"/>
  <sheetViews>
    <sheetView showGridLines="0" zoomScale="62" zoomScaleNormal="62" zoomScalePageLayoutView="38" workbookViewId="0">
      <selection activeCell="Z25" sqref="Z25"/>
    </sheetView>
  </sheetViews>
  <sheetFormatPr defaultRowHeight="15" x14ac:dyDescent="0.25"/>
  <cols>
    <col min="1" max="6" width="9.140625" style="19"/>
    <col min="7" max="7" width="5.140625" style="19" customWidth="1"/>
    <col min="8" max="16384" width="9.140625" style="19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5"/>
      <c r="P1" s="15"/>
      <c r="Q1" s="15"/>
      <c r="R1" s="15"/>
      <c r="S1" s="15"/>
      <c r="T1" s="15"/>
      <c r="U1" s="15"/>
      <c r="V1" s="15"/>
      <c r="W1" s="16"/>
    </row>
    <row r="2" spans="1:23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W2" s="20"/>
    </row>
    <row r="3" spans="1:23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W3" s="20"/>
    </row>
    <row r="4" spans="1:23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21"/>
    </row>
    <row r="5" spans="1:23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1"/>
    </row>
    <row r="6" spans="1:23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1"/>
    </row>
    <row r="7" spans="1:23" x14ac:dyDescent="0.25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1"/>
    </row>
    <row r="8" spans="1:23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1"/>
    </row>
    <row r="9" spans="1:23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21"/>
    </row>
    <row r="10" spans="1:23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21"/>
    </row>
    <row r="11" spans="1:23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21"/>
    </row>
    <row r="12" spans="1:23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21"/>
    </row>
    <row r="13" spans="1:23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21"/>
    </row>
    <row r="14" spans="1:23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21"/>
    </row>
    <row r="15" spans="1:23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21"/>
    </row>
    <row r="16" spans="1:23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21"/>
    </row>
    <row r="17" spans="1:23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21"/>
    </row>
    <row r="18" spans="1:23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21"/>
    </row>
    <row r="19" spans="1:23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21"/>
    </row>
    <row r="20" spans="1:23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21"/>
    </row>
    <row r="21" spans="1:23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21"/>
    </row>
    <row r="22" spans="1:23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21"/>
    </row>
    <row r="23" spans="1:23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21"/>
    </row>
    <row r="24" spans="1:23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21"/>
    </row>
    <row r="25" spans="1:23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1"/>
    </row>
    <row r="26" spans="1:2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21"/>
    </row>
    <row r="27" spans="1:23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21"/>
    </row>
    <row r="28" spans="1:23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21"/>
    </row>
    <row r="29" spans="1:23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21"/>
    </row>
    <row r="30" spans="1:23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21"/>
    </row>
    <row r="31" spans="1:23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21"/>
    </row>
    <row r="32" spans="1:23" x14ac:dyDescent="0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21"/>
    </row>
    <row r="33" spans="1:23" x14ac:dyDescent="0.2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21"/>
    </row>
    <row r="34" spans="1:23" x14ac:dyDescent="0.2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21"/>
    </row>
    <row r="35" spans="1:23" x14ac:dyDescent="0.25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21"/>
    </row>
    <row r="36" spans="1:23" x14ac:dyDescent="0.25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21"/>
    </row>
    <row r="37" spans="1:23" x14ac:dyDescent="0.25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21"/>
    </row>
    <row r="38" spans="1:23" x14ac:dyDescent="0.25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21"/>
    </row>
    <row r="39" spans="1:23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21"/>
    </row>
    <row r="40" spans="1:23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21"/>
    </row>
    <row r="41" spans="1:23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21"/>
    </row>
    <row r="42" spans="1:23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21"/>
    </row>
    <row r="43" spans="1:23" x14ac:dyDescent="0.25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21"/>
    </row>
    <row r="44" spans="1:23" x14ac:dyDescent="0.25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21"/>
    </row>
    <row r="45" spans="1:23" x14ac:dyDescent="0.2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21"/>
    </row>
    <row r="46" spans="1:23" x14ac:dyDescent="0.25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21"/>
    </row>
    <row r="47" spans="1:23" x14ac:dyDescent="0.25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21"/>
    </row>
    <row r="48" spans="1:23" x14ac:dyDescent="0.25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21"/>
    </row>
    <row r="49" spans="1:23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</row>
  </sheetData>
  <sheetProtection algorithmName="SHA-512" hashValue="BoS57RAU7GKfukHAL42OlDiKHwriSI+fS7mQW7jGDaQO/lAt7lVW28V2CW9ZJJABpXmqZxoMbOPIC9xrxUgjsg==" saltValue="Lqu1HLynDBswU+97HwZpZ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06276-0EB6-4744-8A30-88C087231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</vt:lpstr>
      <vt:lpstr>Functional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Acharya</dc:creator>
  <cp:lastModifiedBy>Anam Acharya</cp:lastModifiedBy>
  <dcterms:created xsi:type="dcterms:W3CDTF">2026-03-08T09:31:05Z</dcterms:created>
  <dcterms:modified xsi:type="dcterms:W3CDTF">2026-03-09T10:41:10Z</dcterms:modified>
</cp:coreProperties>
</file>